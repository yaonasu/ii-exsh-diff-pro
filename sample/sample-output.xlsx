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4869c3fb19ae3cb/ii/00_development/python/ii-exsh-diff-pro/release/sample/"/>
    </mc:Choice>
  </mc:AlternateContent>
  <xr:revisionPtr revIDLastSave="6" documentId="11_2A41A69816B188E5F590307162B3B086AF635D02" xr6:coauthVersionLast="47" xr6:coauthVersionMax="47" xr10:uidLastSave="{C78EB4A9-0942-4BEB-B005-4F59A5A0081C}"/>
  <bookViews>
    <workbookView xWindow="-120" yWindow="-120" windowWidth="29040" windowHeight="15720" xr2:uid="{00000000-000D-0000-FFFF-FFFF00000000}"/>
  </bookViews>
  <sheets>
    <sheet name="ii-exsh-diff-pro" sheetId="1" r:id="rId1"/>
    <sheet name="sh00" sheetId="2" r:id="rId2"/>
    <sheet name="sh01" sheetId="3" r:id="rId3"/>
    <sheet name="sh0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" i="4" l="1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H24" i="1"/>
  <c r="G24" i="1" s="1"/>
  <c r="H23" i="1"/>
  <c r="G23" i="1" s="1"/>
  <c r="H22" i="1"/>
  <c r="G22" i="1" s="1"/>
  <c r="K24" i="1" l="1"/>
  <c r="J24" i="1"/>
  <c r="K23" i="1"/>
  <c r="J23" i="1"/>
  <c r="K22" i="1"/>
  <c r="J22" i="1"/>
</calcChain>
</file>

<file path=xl/sharedStrings.xml><?xml version="1.0" encoding="utf-8"?>
<sst xmlns="http://schemas.openxmlformats.org/spreadsheetml/2006/main" count="1658" uniqueCount="276">
  <si>
    <t>エクセルシートの比較・差分結果報告書</t>
  </si>
  <si>
    <t>check1</t>
  </si>
  <si>
    <t>check2</t>
  </si>
  <si>
    <t>review</t>
  </si>
  <si>
    <t>以下のエクセルファイルのシートを比較・確認したので、差分結果について報告します</t>
  </si>
  <si>
    <t>報告の要約を以下に列挙します</t>
  </si>
  <si>
    <t>本書の活用手順</t>
  </si>
  <si>
    <t>1. 差分を確認する：詳細シートで、Ｆ列に "x" のある行の ＤＥＧ列 に必要事項を記入する</t>
  </si>
  <si>
    <t>2. 差分を確認する：本シート（下表）で ＪＫ列 が OK になることを確認する （NG の場合、↑ の対応漏れです）</t>
  </si>
  <si>
    <t>3. 報告をまとめる：「何と何（前提：ファイルの素性）」 を 「なんのため（目的）」 に比較したのか 「ゴールの状態は何か（目標）」 を、この手順を記載した領域に記載する</t>
  </si>
  <si>
    <t>4. 報告をまとめる：詳細シートを確認した結果の要約やポイント、報告すべきことを、この手順を記載した領域に列挙する</t>
  </si>
  <si>
    <t>比較結果、および その結果の目視確認結果を下表に記します</t>
  </si>
  <si>
    <t>シート名</t>
  </si>
  <si>
    <t>L</t>
  </si>
  <si>
    <t>R</t>
  </si>
  <si>
    <t>比較方法</t>
  </si>
  <si>
    <t>差分</t>
  </si>
  <si>
    <t>差分行数</t>
  </si>
  <si>
    <t>備考</t>
  </si>
  <si>
    <t>sh00</t>
  </si>
  <si>
    <t>Sheet1</t>
  </si>
  <si>
    <t>Sheet2</t>
  </si>
  <si>
    <t xml:space="preserve">1.00 / </t>
  </si>
  <si>
    <t>sh01</t>
  </si>
  <si>
    <t>1.00 / A:B</t>
  </si>
  <si>
    <t>sh02</t>
  </si>
  <si>
    <t xml:space="preserve">0.70 / </t>
  </si>
  <si>
    <t>詳細は各シートを参照ください</t>
  </si>
  <si>
    <t>＜補足・注意事項＞</t>
  </si>
  <si>
    <t>　・本シート（上表）の Ｈ列 で示す数値は、詳細シート（sh**）の Ｆ列 が "x" の行数を入れています</t>
  </si>
  <si>
    <t>　・本シート（上表）の ＪＫ列 で示す値 (OK/NG) は、詳細シートの差分のあるすべての行の ＤＥ列 に値が入っていたら OK を入れ、</t>
  </si>
  <si>
    <t>　　そうでなければ NG を入れています</t>
  </si>
  <si>
    <t>　・詳細シートの Ｎ列 以降に、３つの領域に分けて、左からファイル（L）のシートの内容、ファイル（R）のシートの内容、</t>
  </si>
  <si>
    <t>　　ファイル（L）/（R）の差分を１つにまとめたシートの内容を入れています</t>
  </si>
  <si>
    <t>　・詳細シートで差分のある行は、Ｆ列 に "x" を入れ、該当する差分のあるセルは薄紫塗にしています</t>
  </si>
  <si>
    <t>　・計算式の入ったセルは、セルの値をコピー・比較します</t>
  </si>
  <si>
    <t>　・オブジェクト、メモ、コメント、セル結合、行・列の幅などは非対応です</t>
  </si>
  <si>
    <t>Created by ii-exsh-diff-pro v.1.00 on 2026/02/08 10:01:47. It took 0:00:0.19 second.</t>
  </si>
  <si>
    <t>ii-exsh-diff-pro 比較・差分結果 詳細シート</t>
  </si>
  <si>
    <t>#</t>
  </si>
  <si>
    <t>結合文字(L)</t>
  </si>
  <si>
    <t>結合文字(R)</t>
  </si>
  <si>
    <t>差分有無</t>
  </si>
  <si>
    <t>差分理由</t>
  </si>
  <si>
    <t>Sheet1 ⇒ Sheet2</t>
  </si>
  <si>
    <t>label1</t>
  </si>
  <si>
    <t>label2</t>
  </si>
  <si>
    <t>label3</t>
  </si>
  <si>
    <t>label4</t>
  </si>
  <si>
    <t>label5</t>
  </si>
  <si>
    <t>label6</t>
  </si>
  <si>
    <t>label7</t>
  </si>
  <si>
    <t>label8</t>
  </si>
  <si>
    <t>label9</t>
  </si>
  <si>
    <t>label10</t>
  </si>
  <si>
    <t>label11</t>
  </si>
  <si>
    <t>label12</t>
  </si>
  <si>
    <t>label13</t>
  </si>
  <si>
    <t>label14</t>
  </si>
  <si>
    <t>label15</t>
  </si>
  <si>
    <t>label16</t>
  </si>
  <si>
    <t>label17</t>
  </si>
  <si>
    <t>label18</t>
  </si>
  <si>
    <t>label19</t>
  </si>
  <si>
    <t>label20</t>
  </si>
  <si>
    <t>label21</t>
  </si>
  <si>
    <t>label22</t>
  </si>
  <si>
    <t>label23</t>
  </si>
  <si>
    <t>label24</t>
  </si>
  <si>
    <t>label25</t>
  </si>
  <si>
    <t>label26</t>
  </si>
  <si>
    <t>label27</t>
  </si>
  <si>
    <t>label28</t>
  </si>
  <si>
    <t>label29</t>
  </si>
  <si>
    <t>label30</t>
  </si>
  <si>
    <t>label31</t>
  </si>
  <si>
    <t>label32</t>
  </si>
  <si>
    <t>label33</t>
  </si>
  <si>
    <t>label34</t>
  </si>
  <si>
    <t>label35</t>
  </si>
  <si>
    <t>label36</t>
  </si>
  <si>
    <t>label37</t>
  </si>
  <si>
    <t>label38</t>
  </si>
  <si>
    <t>label39</t>
  </si>
  <si>
    <t>label40</t>
  </si>
  <si>
    <t>label41</t>
  </si>
  <si>
    <t>label42</t>
  </si>
  <si>
    <t>label43</t>
  </si>
  <si>
    <t>label44</t>
  </si>
  <si>
    <t>label45</t>
  </si>
  <si>
    <t>label46</t>
  </si>
  <si>
    <t>label47</t>
  </si>
  <si>
    <t>label48</t>
  </si>
  <si>
    <t>label49</t>
  </si>
  <si>
    <t>label50</t>
  </si>
  <si>
    <t>label51</t>
  </si>
  <si>
    <t>label52</t>
  </si>
  <si>
    <t>label53</t>
  </si>
  <si>
    <t>label54</t>
  </si>
  <si>
    <t>label55</t>
  </si>
  <si>
    <t>label56</t>
  </si>
  <si>
    <t>label57</t>
  </si>
  <si>
    <t>label58</t>
  </si>
  <si>
    <t>label59</t>
  </si>
  <si>
    <t>label60</t>
  </si>
  <si>
    <t>label61</t>
  </si>
  <si>
    <t>LABEL1LABEL2LABEL3LABEL4LABEL5LABEL6LABEL7LABEL8LABEL9LABEL10LABEL11LABEL12LABEL13LABEL14LABEL15</t>
  </si>
  <si>
    <t>1.00</t>
  </si>
  <si>
    <t>LABEL1</t>
  </si>
  <si>
    <t>LABEL2</t>
  </si>
  <si>
    <t>LABEL3</t>
  </si>
  <si>
    <t>LABEL4</t>
  </si>
  <si>
    <t>LABEL5</t>
  </si>
  <si>
    <t>LABEL6</t>
  </si>
  <si>
    <t>LABEL7</t>
  </si>
  <si>
    <t>LABEL8</t>
  </si>
  <si>
    <t>LABEL9</t>
  </si>
  <si>
    <t>LABEL10</t>
  </si>
  <si>
    <t>LABEL11</t>
  </si>
  <si>
    <t>LABEL12</t>
  </si>
  <si>
    <t>LABEL13</t>
  </si>
  <si>
    <t>LABEL14</t>
  </si>
  <si>
    <t>LABEL15</t>
  </si>
  <si>
    <t xml:space="preserve">AA11EE              </t>
  </si>
  <si>
    <t>AA11EE</t>
  </si>
  <si>
    <t xml:space="preserve"> ADF ghdfsh erear    aas aa  </t>
  </si>
  <si>
    <t>ADF</t>
  </si>
  <si>
    <t>ghdfsh</t>
  </si>
  <si>
    <t>erear</t>
  </si>
  <si>
    <t>aas</t>
  </si>
  <si>
    <t>aa</t>
  </si>
  <si>
    <t xml:space="preserve"> LGFD d  upadsag b   </t>
  </si>
  <si>
    <t>LGFD</t>
  </si>
  <si>
    <t>d</t>
  </si>
  <si>
    <t>up</t>
  </si>
  <si>
    <t>ads</t>
  </si>
  <si>
    <t>a</t>
  </si>
  <si>
    <t>g</t>
  </si>
  <si>
    <t>b</t>
  </si>
  <si>
    <t xml:space="preserve"> ADBX    fg dagd   :/uo/  </t>
  </si>
  <si>
    <t>x</t>
  </si>
  <si>
    <t>ADBX</t>
  </si>
  <si>
    <t>fg</t>
  </si>
  <si>
    <t>dagd</t>
  </si>
  <si>
    <t>:/uo/</t>
  </si>
  <si>
    <t xml:space="preserve">
 ⇒ 
ADBX</t>
  </si>
  <si>
    <t xml:space="preserve">
 ⇒ 
fg</t>
  </si>
  <si>
    <t xml:space="preserve">
 ⇒ 
dagd</t>
  </si>
  <si>
    <t xml:space="preserve">
 ⇒ 
:/uo/</t>
  </si>
  <si>
    <t xml:space="preserve"> RGSAD agdfa af agd    ba dsa</t>
  </si>
  <si>
    <t>RGSAD</t>
  </si>
  <si>
    <t>agdfa</t>
  </si>
  <si>
    <t>af</t>
  </si>
  <si>
    <t>agd</t>
  </si>
  <si>
    <t>ba</t>
  </si>
  <si>
    <t>dsa</t>
  </si>
  <si>
    <t xml:space="preserve"> FDERA    ertl   grea as  </t>
  </si>
  <si>
    <t>FDERA</t>
  </si>
  <si>
    <t>ertl</t>
  </si>
  <si>
    <t>grea</t>
  </si>
  <si>
    <t>as</t>
  </si>
  <si>
    <t>AA22EE   io;hs   gra    agfda</t>
  </si>
  <si>
    <t>AA22EE</t>
  </si>
  <si>
    <t>io;hs</t>
  </si>
  <si>
    <t>gra</t>
  </si>
  <si>
    <t>agfd</t>
  </si>
  <si>
    <t xml:space="preserve"> DASCB arga gaf ag da  ae  </t>
  </si>
  <si>
    <t>DASCB</t>
  </si>
  <si>
    <t>arga</t>
  </si>
  <si>
    <t>gaf</t>
  </si>
  <si>
    <t>ag</t>
  </si>
  <si>
    <t>da</t>
  </si>
  <si>
    <t>ae</t>
  </si>
  <si>
    <t xml:space="preserve"> PGADHER asdgfad   dsf da    </t>
  </si>
  <si>
    <t>PGADHER</t>
  </si>
  <si>
    <t>asd</t>
  </si>
  <si>
    <t>gfad</t>
  </si>
  <si>
    <t>dsf</t>
  </si>
  <si>
    <t xml:space="preserve">
 ⇒ 
PGADHER</t>
  </si>
  <si>
    <t xml:space="preserve">
 ⇒ 
asd</t>
  </si>
  <si>
    <t xml:space="preserve">
 ⇒ 
gfad</t>
  </si>
  <si>
    <t xml:space="preserve">
 ⇒ 
dsf</t>
  </si>
  <si>
    <t xml:space="preserve">
 ⇒ 
da</t>
  </si>
  <si>
    <t xml:space="preserve">ADBX
 ⇒ 
</t>
  </si>
  <si>
    <t xml:space="preserve">fg
 ⇒ 
</t>
  </si>
  <si>
    <t xml:space="preserve">dagd
 ⇒ 
</t>
  </si>
  <si>
    <t xml:space="preserve">:/uo/
 ⇒ 
</t>
  </si>
  <si>
    <t xml:space="preserve"> ARGYKJ asdgfad   dsf da    </t>
  </si>
  <si>
    <t>ARGYKJ</t>
  </si>
  <si>
    <t xml:space="preserve">ARGYKJ
 ⇒ 
</t>
  </si>
  <si>
    <t xml:space="preserve">asd
 ⇒ 
</t>
  </si>
  <si>
    <t xml:space="preserve">gfad
 ⇒ 
</t>
  </si>
  <si>
    <t xml:space="preserve">dsf
 ⇒ 
</t>
  </si>
  <si>
    <t xml:space="preserve">da
 ⇒ 
</t>
  </si>
  <si>
    <t xml:space="preserve"> JUMDS  a ga        </t>
  </si>
  <si>
    <t>JUMDS</t>
  </si>
  <si>
    <t>ga</t>
  </si>
  <si>
    <t xml:space="preserve">AA33EE    fgaljh  a adffbgfdjab </t>
  </si>
  <si>
    <t>AA33EE</t>
  </si>
  <si>
    <t>fgaljh</t>
  </si>
  <si>
    <t>adf</t>
  </si>
  <si>
    <t>fbgf</t>
  </si>
  <si>
    <t>dj</t>
  </si>
  <si>
    <t>ab</t>
  </si>
  <si>
    <t xml:space="preserve"> DARHN   ulkf a dfas     </t>
  </si>
  <si>
    <t>DARHN</t>
  </si>
  <si>
    <t>ulkf</t>
  </si>
  <si>
    <t>dfas</t>
  </si>
  <si>
    <t xml:space="preserve"> ADRHE  gdfa fdafd       </t>
  </si>
  <si>
    <t>ADRHE</t>
  </si>
  <si>
    <t>gdfa</t>
  </si>
  <si>
    <t>fd</t>
  </si>
  <si>
    <t>afd</t>
  </si>
  <si>
    <t xml:space="preserve"> PTRAHA  ujtrdagdf afsd   hdhfo;h </t>
  </si>
  <si>
    <t>PTRAHA</t>
  </si>
  <si>
    <t>ujtrd</t>
  </si>
  <si>
    <t>agdf</t>
  </si>
  <si>
    <t>afsd</t>
  </si>
  <si>
    <t>h</t>
  </si>
  <si>
    <t>dhf</t>
  </si>
  <si>
    <t>o;h</t>
  </si>
  <si>
    <t xml:space="preserve">
 ⇒ 
PTRAHA</t>
  </si>
  <si>
    <t xml:space="preserve">
 ⇒ 
ujtrd</t>
  </si>
  <si>
    <t xml:space="preserve">
 ⇒ 
agdf</t>
  </si>
  <si>
    <t xml:space="preserve">
 ⇒ 
afsd</t>
  </si>
  <si>
    <t xml:space="preserve">
 ⇒ 
h</t>
  </si>
  <si>
    <t xml:space="preserve">
 ⇒ 
dhf</t>
  </si>
  <si>
    <t xml:space="preserve">
 ⇒ 
o;h</t>
  </si>
  <si>
    <t xml:space="preserve"> NVWT   hgfga   ar   ads</t>
  </si>
  <si>
    <t>NVWT</t>
  </si>
  <si>
    <t>hgf</t>
  </si>
  <si>
    <t>ar</t>
  </si>
  <si>
    <t xml:space="preserve"> CRYYXA  jkuy fssd     zagdf </t>
  </si>
  <si>
    <t>CRYYXA</t>
  </si>
  <si>
    <t>jkuy</t>
  </si>
  <si>
    <t>fs</t>
  </si>
  <si>
    <t>sd</t>
  </si>
  <si>
    <t>zagdf</t>
  </si>
  <si>
    <t xml:space="preserve">BB44AF              </t>
  </si>
  <si>
    <t>BB44AF</t>
  </si>
  <si>
    <t xml:space="preserve"> PJNAERF  ulkf a dfas asdfhfadga eraadgfa</t>
  </si>
  <si>
    <t>PJNAERF</t>
  </si>
  <si>
    <t>asdfhfad</t>
  </si>
  <si>
    <t>era</t>
  </si>
  <si>
    <t>adgfa</t>
  </si>
  <si>
    <t xml:space="preserve"> LBAFDHI gdfa fdafd   q ewafahtra </t>
  </si>
  <si>
    <t>LBAFDHI</t>
  </si>
  <si>
    <t>q</t>
  </si>
  <si>
    <t>ewaf</t>
  </si>
  <si>
    <t>ahtra</t>
  </si>
  <si>
    <t xml:space="preserve"> GFKSEWA   upadsag b ws  </t>
  </si>
  <si>
    <t>GFKSEWA</t>
  </si>
  <si>
    <t>ws</t>
  </si>
  <si>
    <t xml:space="preserve">GFKSEWA
 ⇒ 
</t>
  </si>
  <si>
    <t xml:space="preserve">up
 ⇒ 
</t>
  </si>
  <si>
    <t xml:space="preserve">ads
 ⇒ 
</t>
  </si>
  <si>
    <t xml:space="preserve">a
 ⇒ 
</t>
  </si>
  <si>
    <t xml:space="preserve">g
 ⇒ 
</t>
  </si>
  <si>
    <t xml:space="preserve">b
 ⇒ 
</t>
  </si>
  <si>
    <t xml:space="preserve">ws
 ⇒ 
</t>
  </si>
  <si>
    <t xml:space="preserve"> ASDFAIGHS    a adffbgfdjabagdfa  </t>
  </si>
  <si>
    <t>ASDFAIGHS</t>
  </si>
  <si>
    <t xml:space="preserve"> MNRAJERE   a dfas     hgfasfd</t>
  </si>
  <si>
    <t>MNRAJERE</t>
  </si>
  <si>
    <t>asfd</t>
  </si>
  <si>
    <t xml:space="preserve"> KGFSUBS ghdfsh erear    sdfaad rth  </t>
  </si>
  <si>
    <t>KGFSUBS</t>
  </si>
  <si>
    <t>sdfaad</t>
  </si>
  <si>
    <t>rth</t>
  </si>
  <si>
    <t>0.84</t>
  </si>
  <si>
    <t>ARGYKJ
 ⇒ 
PGADHER</t>
  </si>
  <si>
    <t>ファイル名(L)  C:\sample.xlsx</t>
    <phoneticPr fontId="7"/>
  </si>
  <si>
    <t>ファイル名(R)  C:\sample.xlsx</t>
    <phoneticPr fontId="7"/>
  </si>
  <si>
    <t>ファイル名(L): C:\sample.xlsx / ファイル名(R): C:\sample.xlsx @ Created by ii-exsh-diff-pro v.1.00. threshold=1.0. target_columns="A:B".</t>
    <phoneticPr fontId="7"/>
  </si>
  <si>
    <t>ファイル名(L): C:\sample.xlsx / ファイル名(R): C:\sample.xls @ Created by ii-exsh-diff-pro v.1.00. threshold=0.7. target_columns="".</t>
    <phoneticPr fontId="7"/>
  </si>
  <si>
    <t>ファイル名(L): C:\sample.xlsx / ファイル名(R): C:\sample.xlsx @ Created by ii-exsh-diff-pro v.1.00. threshold=1.0. target_columns="".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</si>
</sst>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2"/>
      <scheme val="minor"/>
    </font>
    <font>
      <b/>
      <sz val="2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2"/>
      <color theme="10"/>
      <name val="ＭＳ Ｐゴシック"/>
      <family val="2"/>
      <scheme val="minor"/>
    </font>
    <font>
      <sz val="18"/>
      <name val="ＭＳ Ｐゴシック"/>
      <family val="3"/>
      <charset val="128"/>
    </font>
    <font>
      <sz val="11"/>
      <color rgb="FFC0C0C0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09EB9"/>
        <bgColor rgb="FFB09EB9"/>
      </patternFill>
    </fill>
    <fill>
      <patternFill patternType="solid">
        <fgColor rgb="FFC0C0C0"/>
        <bgColor rgb="FFC0C0C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rgb="FF696969"/>
      </right>
      <top style="thin">
        <color rgb="FF696969"/>
      </top>
      <bottom style="thin">
        <color rgb="FF696969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/>
      <diagonal/>
    </border>
    <border>
      <left style="thin">
        <color rgb="FF696969"/>
      </left>
      <right style="thin">
        <color rgb="FF696969"/>
      </right>
      <top/>
      <bottom style="thin">
        <color rgb="FF696969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3" fillId="0" borderId="4" xfId="1" applyBorder="1"/>
    <xf numFmtId="0" fontId="3" fillId="0" borderId="0" xfId="1"/>
    <xf numFmtId="0" fontId="0" fillId="3" borderId="0" xfId="0" applyFill="1"/>
    <xf numFmtId="0" fontId="4" fillId="0" borderId="0" xfId="1" applyFont="1"/>
    <xf numFmtId="0" fontId="5" fillId="3" borderId="0" xfId="0" applyFont="1" applyFill="1"/>
    <xf numFmtId="0" fontId="6" fillId="0" borderId="0" xfId="0" applyFont="1"/>
    <xf numFmtId="0" fontId="0" fillId="0" borderId="0" xfId="0" applyAlignment="1">
      <alignment horizontal="left" vertical="top"/>
    </xf>
    <xf numFmtId="0" fontId="2" fillId="2" borderId="0" xfId="0" applyFont="1" applyFill="1"/>
    <xf numFmtId="0" fontId="2" fillId="2" borderId="0" xfId="0" applyFont="1" applyFill="1" applyAlignment="1">
      <alignment shrinkToFit="1"/>
    </xf>
  </cellXfs>
  <cellStyles count="2">
    <cellStyle name="ハイパーリンク" xfId="1" builtinId="8"/>
    <cellStyle name="標準" xfId="0" builtinId="0"/>
  </cellStyles>
  <dxfs count="6">
    <dxf>
      <font>
        <b/>
      </font>
      <fill>
        <patternFill patternType="solid">
          <fgColor rgb="FFB09EB9"/>
          <bgColor rgb="FFB09EB9"/>
        </patternFill>
      </fill>
    </dxf>
    <dxf>
      <font>
        <b/>
      </font>
      <fill>
        <patternFill patternType="solid">
          <fgColor rgb="FFB09EB9"/>
          <bgColor rgb="FFB09EB9"/>
        </patternFill>
      </fill>
    </dxf>
    <dxf>
      <font>
        <b/>
      </font>
      <fill>
        <patternFill patternType="solid">
          <fgColor rgb="FFB09EB9"/>
          <bgColor rgb="FFB09EB9"/>
        </patternFill>
      </fill>
    </dxf>
    <dxf>
      <font>
        <b/>
      </font>
      <fill>
        <patternFill patternType="solid">
          <fgColor rgb="FFB09EB9"/>
          <bgColor rgb="FFB09EB9"/>
        </patternFill>
      </fill>
    </dxf>
    <dxf>
      <font>
        <b/>
      </font>
      <fill>
        <patternFill patternType="solid">
          <fgColor rgb="FFB09EB9"/>
          <bgColor rgb="FFB09EB9"/>
        </patternFill>
      </fill>
    </dxf>
    <dxf>
      <font>
        <b/>
      </font>
      <fill>
        <patternFill patternType="solid">
          <fgColor rgb="FFB09EB9"/>
          <bgColor rgb="FFB09EB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table7" displayName="t_table7" ref="C21:K24">
  <autoFilter ref="C21:K24" xr:uid="{00000000-0009-0000-0100-000001000000}"/>
  <tableColumns count="9">
    <tableColumn id="3" xr3:uid="{00000000-0010-0000-0000-000003000000}" name="シート名"/>
    <tableColumn id="4" xr3:uid="{00000000-0010-0000-0000-000004000000}" name="L"/>
    <tableColumn id="5" xr3:uid="{00000000-0010-0000-0000-000005000000}" name="R"/>
    <tableColumn id="6" xr3:uid="{00000000-0010-0000-0000-000006000000}" name="比較方法"/>
    <tableColumn id="7" xr3:uid="{00000000-0010-0000-0000-000007000000}" name="差分"/>
    <tableColumn id="8" xr3:uid="{00000000-0010-0000-0000-000008000000}" name="差分行数"/>
    <tableColumn id="9" xr3:uid="{00000000-0010-0000-0000-000009000000}" name="備考"/>
    <tableColumn id="10" xr3:uid="{00000000-0010-0000-0000-00000A000000}" name="check1"/>
    <tableColumn id="11" xr3:uid="{00000000-0010-0000-0000-00000B000000}" name="check2"/>
  </tableColumns>
  <tableStyleInfo name="s_table8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table1" displayName="t_table1" ref="A4:BI30">
  <autoFilter ref="A4:BI30" xr:uid="{00000000-0009-0000-0100-000002000000}"/>
  <tableColumns count="61">
    <tableColumn id="1" xr3:uid="{00000000-0010-0000-0100-000001000000}" name="label1"/>
    <tableColumn id="2" xr3:uid="{00000000-0010-0000-0100-000002000000}" name="label2"/>
    <tableColumn id="3" xr3:uid="{00000000-0010-0000-0100-000003000000}" name="label3"/>
    <tableColumn id="4" xr3:uid="{00000000-0010-0000-0100-000004000000}" name="label4"/>
    <tableColumn id="5" xr3:uid="{00000000-0010-0000-0100-000005000000}" name="label5"/>
    <tableColumn id="6" xr3:uid="{00000000-0010-0000-0100-000006000000}" name="label6"/>
    <tableColumn id="7" xr3:uid="{00000000-0010-0000-0100-000007000000}" name="label7"/>
    <tableColumn id="8" xr3:uid="{00000000-0010-0000-0100-000008000000}" name="label8"/>
    <tableColumn id="9" xr3:uid="{00000000-0010-0000-0100-000009000000}" name="label9"/>
    <tableColumn id="10" xr3:uid="{00000000-0010-0000-0100-00000A000000}" name="label10"/>
    <tableColumn id="11" xr3:uid="{00000000-0010-0000-0100-00000B000000}" name="label11"/>
    <tableColumn id="12" xr3:uid="{00000000-0010-0000-0100-00000C000000}" name="label12"/>
    <tableColumn id="13" xr3:uid="{00000000-0010-0000-0100-00000D000000}" name="label13"/>
    <tableColumn id="14" xr3:uid="{00000000-0010-0000-0100-00000E000000}" name="label14"/>
    <tableColumn id="15" xr3:uid="{00000000-0010-0000-0100-00000F000000}" name="label15"/>
    <tableColumn id="16" xr3:uid="{00000000-0010-0000-0100-000010000000}" name="label16"/>
    <tableColumn id="17" xr3:uid="{00000000-0010-0000-0100-000011000000}" name="label17"/>
    <tableColumn id="18" xr3:uid="{00000000-0010-0000-0100-000012000000}" name="label18"/>
    <tableColumn id="19" xr3:uid="{00000000-0010-0000-0100-000013000000}" name="label19"/>
    <tableColumn id="20" xr3:uid="{00000000-0010-0000-0100-000014000000}" name="label20"/>
    <tableColumn id="21" xr3:uid="{00000000-0010-0000-0100-000015000000}" name="label21"/>
    <tableColumn id="22" xr3:uid="{00000000-0010-0000-0100-000016000000}" name="label22"/>
    <tableColumn id="23" xr3:uid="{00000000-0010-0000-0100-000017000000}" name="label23"/>
    <tableColumn id="24" xr3:uid="{00000000-0010-0000-0100-000018000000}" name="label24"/>
    <tableColumn id="25" xr3:uid="{00000000-0010-0000-0100-000019000000}" name="label25"/>
    <tableColumn id="26" xr3:uid="{00000000-0010-0000-0100-00001A000000}" name="label26"/>
    <tableColumn id="27" xr3:uid="{00000000-0010-0000-0100-00001B000000}" name="label27"/>
    <tableColumn id="28" xr3:uid="{00000000-0010-0000-0100-00001C000000}" name="label28"/>
    <tableColumn id="29" xr3:uid="{00000000-0010-0000-0100-00001D000000}" name="label29"/>
    <tableColumn id="30" xr3:uid="{00000000-0010-0000-0100-00001E000000}" name="label30"/>
    <tableColumn id="31" xr3:uid="{00000000-0010-0000-0100-00001F000000}" name="label31"/>
    <tableColumn id="32" xr3:uid="{00000000-0010-0000-0100-000020000000}" name="label32"/>
    <tableColumn id="33" xr3:uid="{00000000-0010-0000-0100-000021000000}" name="label33"/>
    <tableColumn id="34" xr3:uid="{00000000-0010-0000-0100-000022000000}" name="label34"/>
    <tableColumn id="35" xr3:uid="{00000000-0010-0000-0100-000023000000}" name="label35"/>
    <tableColumn id="36" xr3:uid="{00000000-0010-0000-0100-000024000000}" name="label36"/>
    <tableColumn id="37" xr3:uid="{00000000-0010-0000-0100-000025000000}" name="label37"/>
    <tableColumn id="38" xr3:uid="{00000000-0010-0000-0100-000026000000}" name="label38"/>
    <tableColumn id="39" xr3:uid="{00000000-0010-0000-0100-000027000000}" name="label39"/>
    <tableColumn id="40" xr3:uid="{00000000-0010-0000-0100-000028000000}" name="label40"/>
    <tableColumn id="41" xr3:uid="{00000000-0010-0000-0100-000029000000}" name="label41"/>
    <tableColumn id="42" xr3:uid="{00000000-0010-0000-0100-00002A000000}" name="label42"/>
    <tableColumn id="43" xr3:uid="{00000000-0010-0000-0100-00002B000000}" name="label43"/>
    <tableColumn id="44" xr3:uid="{00000000-0010-0000-0100-00002C000000}" name="label44"/>
    <tableColumn id="45" xr3:uid="{00000000-0010-0000-0100-00002D000000}" name="label45"/>
    <tableColumn id="46" xr3:uid="{00000000-0010-0000-0100-00002E000000}" name="label46"/>
    <tableColumn id="47" xr3:uid="{00000000-0010-0000-0100-00002F000000}" name="label47"/>
    <tableColumn id="48" xr3:uid="{00000000-0010-0000-0100-000030000000}" name="label48"/>
    <tableColumn id="49" xr3:uid="{00000000-0010-0000-0100-000031000000}" name="label49"/>
    <tableColumn id="50" xr3:uid="{00000000-0010-0000-0100-000032000000}" name="label50"/>
    <tableColumn id="51" xr3:uid="{00000000-0010-0000-0100-000033000000}" name="label51"/>
    <tableColumn id="52" xr3:uid="{00000000-0010-0000-0100-000034000000}" name="label52"/>
    <tableColumn id="53" xr3:uid="{00000000-0010-0000-0100-000035000000}" name="label53"/>
    <tableColumn id="54" xr3:uid="{00000000-0010-0000-0100-000036000000}" name="label54"/>
    <tableColumn id="55" xr3:uid="{00000000-0010-0000-0100-000037000000}" name="label55"/>
    <tableColumn id="56" xr3:uid="{00000000-0010-0000-0100-000038000000}" name="label56"/>
    <tableColumn id="57" xr3:uid="{00000000-0010-0000-0100-000039000000}" name="label57"/>
    <tableColumn id="58" xr3:uid="{00000000-0010-0000-0100-00003A000000}" name="label58"/>
    <tableColumn id="59" xr3:uid="{00000000-0010-0000-0100-00003B000000}" name="label59"/>
    <tableColumn id="60" xr3:uid="{00000000-0010-0000-0100-00003C000000}" name="label60"/>
    <tableColumn id="61" xr3:uid="{00000000-0010-0000-0100-00003D000000}" name="label61"/>
  </tableColumns>
  <tableStyleInfo name="s_table2" showFirstColumn="0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table3" displayName="t_table3" ref="A4:BI30">
  <autoFilter ref="A4:BI30" xr:uid="{00000000-0009-0000-0100-000003000000}"/>
  <tableColumns count="61">
    <tableColumn id="1" xr3:uid="{00000000-0010-0000-0200-000001000000}" name="label1"/>
    <tableColumn id="2" xr3:uid="{00000000-0010-0000-0200-000002000000}" name="label2"/>
    <tableColumn id="3" xr3:uid="{00000000-0010-0000-0200-000003000000}" name="label3"/>
    <tableColumn id="4" xr3:uid="{00000000-0010-0000-0200-000004000000}" name="label4"/>
    <tableColumn id="5" xr3:uid="{00000000-0010-0000-0200-000005000000}" name="label5"/>
    <tableColumn id="6" xr3:uid="{00000000-0010-0000-0200-000006000000}" name="label6"/>
    <tableColumn id="7" xr3:uid="{00000000-0010-0000-0200-000007000000}" name="label7"/>
    <tableColumn id="8" xr3:uid="{00000000-0010-0000-0200-000008000000}" name="label8"/>
    <tableColumn id="9" xr3:uid="{00000000-0010-0000-0200-000009000000}" name="label9"/>
    <tableColumn id="10" xr3:uid="{00000000-0010-0000-0200-00000A000000}" name="label10"/>
    <tableColumn id="11" xr3:uid="{00000000-0010-0000-0200-00000B000000}" name="label11"/>
    <tableColumn id="12" xr3:uid="{00000000-0010-0000-0200-00000C000000}" name="label12"/>
    <tableColumn id="13" xr3:uid="{00000000-0010-0000-0200-00000D000000}" name="label13"/>
    <tableColumn id="14" xr3:uid="{00000000-0010-0000-0200-00000E000000}" name="label14"/>
    <tableColumn id="15" xr3:uid="{00000000-0010-0000-0200-00000F000000}" name="label15"/>
    <tableColumn id="16" xr3:uid="{00000000-0010-0000-0200-000010000000}" name="label16"/>
    <tableColumn id="17" xr3:uid="{00000000-0010-0000-0200-000011000000}" name="label17"/>
    <tableColumn id="18" xr3:uid="{00000000-0010-0000-0200-000012000000}" name="label18"/>
    <tableColumn id="19" xr3:uid="{00000000-0010-0000-0200-000013000000}" name="label19"/>
    <tableColumn id="20" xr3:uid="{00000000-0010-0000-0200-000014000000}" name="label20"/>
    <tableColumn id="21" xr3:uid="{00000000-0010-0000-0200-000015000000}" name="label21"/>
    <tableColumn id="22" xr3:uid="{00000000-0010-0000-0200-000016000000}" name="label22"/>
    <tableColumn id="23" xr3:uid="{00000000-0010-0000-0200-000017000000}" name="label23"/>
    <tableColumn id="24" xr3:uid="{00000000-0010-0000-0200-000018000000}" name="label24"/>
    <tableColumn id="25" xr3:uid="{00000000-0010-0000-0200-000019000000}" name="label25"/>
    <tableColumn id="26" xr3:uid="{00000000-0010-0000-0200-00001A000000}" name="label26"/>
    <tableColumn id="27" xr3:uid="{00000000-0010-0000-0200-00001B000000}" name="label27"/>
    <tableColumn id="28" xr3:uid="{00000000-0010-0000-0200-00001C000000}" name="label28"/>
    <tableColumn id="29" xr3:uid="{00000000-0010-0000-0200-00001D000000}" name="label29"/>
    <tableColumn id="30" xr3:uid="{00000000-0010-0000-0200-00001E000000}" name="label30"/>
    <tableColumn id="31" xr3:uid="{00000000-0010-0000-0200-00001F000000}" name="label31"/>
    <tableColumn id="32" xr3:uid="{00000000-0010-0000-0200-000020000000}" name="label32"/>
    <tableColumn id="33" xr3:uid="{00000000-0010-0000-0200-000021000000}" name="label33"/>
    <tableColumn id="34" xr3:uid="{00000000-0010-0000-0200-000022000000}" name="label34"/>
    <tableColumn id="35" xr3:uid="{00000000-0010-0000-0200-000023000000}" name="label35"/>
    <tableColumn id="36" xr3:uid="{00000000-0010-0000-0200-000024000000}" name="label36"/>
    <tableColumn id="37" xr3:uid="{00000000-0010-0000-0200-000025000000}" name="label37"/>
    <tableColumn id="38" xr3:uid="{00000000-0010-0000-0200-000026000000}" name="label38"/>
    <tableColumn id="39" xr3:uid="{00000000-0010-0000-0200-000027000000}" name="label39"/>
    <tableColumn id="40" xr3:uid="{00000000-0010-0000-0200-000028000000}" name="label40"/>
    <tableColumn id="41" xr3:uid="{00000000-0010-0000-0200-000029000000}" name="label41"/>
    <tableColumn id="42" xr3:uid="{00000000-0010-0000-0200-00002A000000}" name="label42"/>
    <tableColumn id="43" xr3:uid="{00000000-0010-0000-0200-00002B000000}" name="label43"/>
    <tableColumn id="44" xr3:uid="{00000000-0010-0000-0200-00002C000000}" name="label44"/>
    <tableColumn id="45" xr3:uid="{00000000-0010-0000-0200-00002D000000}" name="label45"/>
    <tableColumn id="46" xr3:uid="{00000000-0010-0000-0200-00002E000000}" name="label46"/>
    <tableColumn id="47" xr3:uid="{00000000-0010-0000-0200-00002F000000}" name="label47"/>
    <tableColumn id="48" xr3:uid="{00000000-0010-0000-0200-000030000000}" name="label48"/>
    <tableColumn id="49" xr3:uid="{00000000-0010-0000-0200-000031000000}" name="label49"/>
    <tableColumn id="50" xr3:uid="{00000000-0010-0000-0200-000032000000}" name="label50"/>
    <tableColumn id="51" xr3:uid="{00000000-0010-0000-0200-000033000000}" name="label51"/>
    <tableColumn id="52" xr3:uid="{00000000-0010-0000-0200-000034000000}" name="label52"/>
    <tableColumn id="53" xr3:uid="{00000000-0010-0000-0200-000035000000}" name="label53"/>
    <tableColumn id="54" xr3:uid="{00000000-0010-0000-0200-000036000000}" name="label54"/>
    <tableColumn id="55" xr3:uid="{00000000-0010-0000-0200-000037000000}" name="label55"/>
    <tableColumn id="56" xr3:uid="{00000000-0010-0000-0200-000038000000}" name="label56"/>
    <tableColumn id="57" xr3:uid="{00000000-0010-0000-0200-000039000000}" name="label57"/>
    <tableColumn id="58" xr3:uid="{00000000-0010-0000-0200-00003A000000}" name="label58"/>
    <tableColumn id="59" xr3:uid="{00000000-0010-0000-0200-00003B000000}" name="label59"/>
    <tableColumn id="60" xr3:uid="{00000000-0010-0000-0200-00003C000000}" name="label60"/>
    <tableColumn id="61" xr3:uid="{00000000-0010-0000-0200-00003D000000}" name="label61"/>
  </tableColumns>
  <tableStyleInfo name="s_table4" showFirstColumn="0" showLastColumn="0" showRowStripes="1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table5" displayName="t_table5" ref="A4:BI29">
  <autoFilter ref="A4:BI29" xr:uid="{00000000-0009-0000-0100-000004000000}"/>
  <tableColumns count="61">
    <tableColumn id="1" xr3:uid="{00000000-0010-0000-0300-000001000000}" name="label1"/>
    <tableColumn id="2" xr3:uid="{00000000-0010-0000-0300-000002000000}" name="label2"/>
    <tableColumn id="3" xr3:uid="{00000000-0010-0000-0300-000003000000}" name="label3"/>
    <tableColumn id="4" xr3:uid="{00000000-0010-0000-0300-000004000000}" name="label4"/>
    <tableColumn id="5" xr3:uid="{00000000-0010-0000-0300-000005000000}" name="label5"/>
    <tableColumn id="6" xr3:uid="{00000000-0010-0000-0300-000006000000}" name="label6"/>
    <tableColumn id="7" xr3:uid="{00000000-0010-0000-0300-000007000000}" name="label7"/>
    <tableColumn id="8" xr3:uid="{00000000-0010-0000-0300-000008000000}" name="label8"/>
    <tableColumn id="9" xr3:uid="{00000000-0010-0000-0300-000009000000}" name="label9"/>
    <tableColumn id="10" xr3:uid="{00000000-0010-0000-0300-00000A000000}" name="label10"/>
    <tableColumn id="11" xr3:uid="{00000000-0010-0000-0300-00000B000000}" name="label11"/>
    <tableColumn id="12" xr3:uid="{00000000-0010-0000-0300-00000C000000}" name="label12"/>
    <tableColumn id="13" xr3:uid="{00000000-0010-0000-0300-00000D000000}" name="label13"/>
    <tableColumn id="14" xr3:uid="{00000000-0010-0000-0300-00000E000000}" name="label14"/>
    <tableColumn id="15" xr3:uid="{00000000-0010-0000-0300-00000F000000}" name="label15"/>
    <tableColumn id="16" xr3:uid="{00000000-0010-0000-0300-000010000000}" name="label16"/>
    <tableColumn id="17" xr3:uid="{00000000-0010-0000-0300-000011000000}" name="label17"/>
    <tableColumn id="18" xr3:uid="{00000000-0010-0000-0300-000012000000}" name="label18"/>
    <tableColumn id="19" xr3:uid="{00000000-0010-0000-0300-000013000000}" name="label19"/>
    <tableColumn id="20" xr3:uid="{00000000-0010-0000-0300-000014000000}" name="label20"/>
    <tableColumn id="21" xr3:uid="{00000000-0010-0000-0300-000015000000}" name="label21"/>
    <tableColumn id="22" xr3:uid="{00000000-0010-0000-0300-000016000000}" name="label22"/>
    <tableColumn id="23" xr3:uid="{00000000-0010-0000-0300-000017000000}" name="label23"/>
    <tableColumn id="24" xr3:uid="{00000000-0010-0000-0300-000018000000}" name="label24"/>
    <tableColumn id="25" xr3:uid="{00000000-0010-0000-0300-000019000000}" name="label25"/>
    <tableColumn id="26" xr3:uid="{00000000-0010-0000-0300-00001A000000}" name="label26"/>
    <tableColumn id="27" xr3:uid="{00000000-0010-0000-0300-00001B000000}" name="label27"/>
    <tableColumn id="28" xr3:uid="{00000000-0010-0000-0300-00001C000000}" name="label28"/>
    <tableColumn id="29" xr3:uid="{00000000-0010-0000-0300-00001D000000}" name="label29"/>
    <tableColumn id="30" xr3:uid="{00000000-0010-0000-0300-00001E000000}" name="label30"/>
    <tableColumn id="31" xr3:uid="{00000000-0010-0000-0300-00001F000000}" name="label31"/>
    <tableColumn id="32" xr3:uid="{00000000-0010-0000-0300-000020000000}" name="label32"/>
    <tableColumn id="33" xr3:uid="{00000000-0010-0000-0300-000021000000}" name="label33"/>
    <tableColumn id="34" xr3:uid="{00000000-0010-0000-0300-000022000000}" name="label34"/>
    <tableColumn id="35" xr3:uid="{00000000-0010-0000-0300-000023000000}" name="label35"/>
    <tableColumn id="36" xr3:uid="{00000000-0010-0000-0300-000024000000}" name="label36"/>
    <tableColumn id="37" xr3:uid="{00000000-0010-0000-0300-000025000000}" name="label37"/>
    <tableColumn id="38" xr3:uid="{00000000-0010-0000-0300-000026000000}" name="label38"/>
    <tableColumn id="39" xr3:uid="{00000000-0010-0000-0300-000027000000}" name="label39"/>
    <tableColumn id="40" xr3:uid="{00000000-0010-0000-0300-000028000000}" name="label40"/>
    <tableColumn id="41" xr3:uid="{00000000-0010-0000-0300-000029000000}" name="label41"/>
    <tableColumn id="42" xr3:uid="{00000000-0010-0000-0300-00002A000000}" name="label42"/>
    <tableColumn id="43" xr3:uid="{00000000-0010-0000-0300-00002B000000}" name="label43"/>
    <tableColumn id="44" xr3:uid="{00000000-0010-0000-0300-00002C000000}" name="label44"/>
    <tableColumn id="45" xr3:uid="{00000000-0010-0000-0300-00002D000000}" name="label45"/>
    <tableColumn id="46" xr3:uid="{00000000-0010-0000-0300-00002E000000}" name="label46"/>
    <tableColumn id="47" xr3:uid="{00000000-0010-0000-0300-00002F000000}" name="label47"/>
    <tableColumn id="48" xr3:uid="{00000000-0010-0000-0300-000030000000}" name="label48"/>
    <tableColumn id="49" xr3:uid="{00000000-0010-0000-0300-000031000000}" name="label49"/>
    <tableColumn id="50" xr3:uid="{00000000-0010-0000-0300-000032000000}" name="label50"/>
    <tableColumn id="51" xr3:uid="{00000000-0010-0000-0300-000033000000}" name="label51"/>
    <tableColumn id="52" xr3:uid="{00000000-0010-0000-0300-000034000000}" name="label52"/>
    <tableColumn id="53" xr3:uid="{00000000-0010-0000-0300-000035000000}" name="label53"/>
    <tableColumn id="54" xr3:uid="{00000000-0010-0000-0300-000036000000}" name="label54"/>
    <tableColumn id="55" xr3:uid="{00000000-0010-0000-0300-000037000000}" name="label55"/>
    <tableColumn id="56" xr3:uid="{00000000-0010-0000-0300-000038000000}" name="label56"/>
    <tableColumn id="57" xr3:uid="{00000000-0010-0000-0300-000039000000}" name="label57"/>
    <tableColumn id="58" xr3:uid="{00000000-0010-0000-0300-00003A000000}" name="label58"/>
    <tableColumn id="59" xr3:uid="{00000000-0010-0000-0300-00003B000000}" name="label59"/>
    <tableColumn id="60" xr3:uid="{00000000-0010-0000-0300-00003C000000}" name="label60"/>
    <tableColumn id="61" xr3:uid="{00000000-0010-0000-0300-00003D000000}" name="label61"/>
  </tableColumns>
  <tableStyleInfo name="s_table6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yaonasu.blogspo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yaonasu.blogspot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https://yaonasu.blogspot.com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hyperlink" Target="https://yaonasu.blogspo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workbookViewId="0">
      <selection activeCell="E35" sqref="E35"/>
    </sheetView>
  </sheetViews>
  <sheetFormatPr defaultRowHeight="13.5" x14ac:dyDescent="0.15"/>
  <cols>
    <col min="1" max="2" width="3" customWidth="1"/>
    <col min="4" max="5" width="15" customWidth="1"/>
    <col min="9" max="9" width="30" customWidth="1"/>
  </cols>
  <sheetData>
    <row r="1" spans="1:12" ht="25.5" x14ac:dyDescent="0.25">
      <c r="A1" s="1" t="s">
        <v>0</v>
      </c>
    </row>
    <row r="2" spans="1:12" x14ac:dyDescent="0.15">
      <c r="J2" s="2" t="s">
        <v>1</v>
      </c>
      <c r="K2" s="2" t="s">
        <v>2</v>
      </c>
      <c r="L2" s="2" t="s">
        <v>3</v>
      </c>
    </row>
    <row r="3" spans="1:12" x14ac:dyDescent="0.15">
      <c r="B3" t="s">
        <v>4</v>
      </c>
      <c r="J3" s="3"/>
      <c r="K3" s="3"/>
      <c r="L3" s="3"/>
    </row>
    <row r="4" spans="1:12" x14ac:dyDescent="0.15">
      <c r="J4" s="4"/>
      <c r="K4" s="4"/>
      <c r="L4" s="4"/>
    </row>
    <row r="5" spans="1:12" x14ac:dyDescent="0.15">
      <c r="C5" t="s">
        <v>271</v>
      </c>
    </row>
    <row r="6" spans="1:12" x14ac:dyDescent="0.15">
      <c r="C6" t="s">
        <v>272</v>
      </c>
    </row>
    <row r="8" spans="1:12" x14ac:dyDescent="0.15">
      <c r="B8" t="s">
        <v>5</v>
      </c>
    </row>
    <row r="10" spans="1:12" x14ac:dyDescent="0.15">
      <c r="C10" t="s">
        <v>6</v>
      </c>
    </row>
    <row r="11" spans="1:12" x14ac:dyDescent="0.15">
      <c r="C11" t="s">
        <v>7</v>
      </c>
    </row>
    <row r="12" spans="1:12" x14ac:dyDescent="0.15">
      <c r="C12" t="s">
        <v>8</v>
      </c>
    </row>
    <row r="13" spans="1:12" x14ac:dyDescent="0.15">
      <c r="C13" t="s">
        <v>9</v>
      </c>
    </row>
    <row r="14" spans="1:12" x14ac:dyDescent="0.15">
      <c r="C14" t="s">
        <v>10</v>
      </c>
    </row>
    <row r="19" spans="2:11" x14ac:dyDescent="0.15">
      <c r="B19" t="s">
        <v>11</v>
      </c>
    </row>
    <row r="21" spans="2:11" x14ac:dyDescent="0.15">
      <c r="C21" s="5" t="s">
        <v>12</v>
      </c>
      <c r="D21" s="5" t="s">
        <v>13</v>
      </c>
      <c r="E21" s="5" t="s">
        <v>14</v>
      </c>
      <c r="F21" s="5" t="s">
        <v>15</v>
      </c>
      <c r="G21" s="5" t="s">
        <v>16</v>
      </c>
      <c r="H21" s="5" t="s">
        <v>17</v>
      </c>
      <c r="I21" s="5" t="s">
        <v>18</v>
      </c>
      <c r="J21" s="5" t="s">
        <v>1</v>
      </c>
      <c r="K21" s="5" t="s">
        <v>2</v>
      </c>
    </row>
    <row r="22" spans="2:11" ht="14.25" x14ac:dyDescent="0.15">
      <c r="C22" s="6" t="s">
        <v>19</v>
      </c>
      <c r="D22" s="5" t="s">
        <v>20</v>
      </c>
      <c r="E22" s="5" t="s">
        <v>21</v>
      </c>
      <c r="F22" s="5" t="s">
        <v>22</v>
      </c>
      <c r="G22" s="5" t="str">
        <f>IF(H22 &lt;&gt; 0, "あり", "なし")</f>
        <v>あり</v>
      </c>
      <c r="H22" s="5">
        <f>COUNTIF(sh00!F:F, "x")</f>
        <v>6</v>
      </c>
      <c r="I22" s="5"/>
      <c r="J22" s="5" t="str">
        <f>IF(SUMPRODUCT((sh00!F:F="x")*(sh00!D:D&lt;&gt;""))=G22, "OK", "NG")</f>
        <v>NG</v>
      </c>
      <c r="K22" s="5" t="str">
        <f>IF(SUMPRODUCT((sh00!F:F="x")*(sh00!E:E&lt;&gt;""))=G22, "OK", "NG")</f>
        <v>NG</v>
      </c>
    </row>
    <row r="23" spans="2:11" ht="14.25" x14ac:dyDescent="0.15">
      <c r="C23" s="6" t="s">
        <v>23</v>
      </c>
      <c r="D23" s="5" t="s">
        <v>20</v>
      </c>
      <c r="E23" s="5" t="s">
        <v>21</v>
      </c>
      <c r="F23" s="5" t="s">
        <v>24</v>
      </c>
      <c r="G23" s="5" t="str">
        <f>IF(H23 &lt;&gt; 0, "あり", "なし")</f>
        <v>あり</v>
      </c>
      <c r="H23" s="5">
        <f>COUNTIF('sh01'!F:F, "x")</f>
        <v>6</v>
      </c>
      <c r="I23" s="5"/>
      <c r="J23" s="5" t="str">
        <f>IF(SUMPRODUCT(('sh01'!F:F="x")*('sh01'!D:D&lt;&gt;""))=G23, "OK", "NG")</f>
        <v>NG</v>
      </c>
      <c r="K23" s="5" t="str">
        <f>IF(SUMPRODUCT(('sh01'!F:F="x")*('sh01'!E:E&lt;&gt;""))=G23, "OK", "NG")</f>
        <v>NG</v>
      </c>
    </row>
    <row r="24" spans="2:11" ht="14.25" x14ac:dyDescent="0.15">
      <c r="C24" s="6" t="s">
        <v>25</v>
      </c>
      <c r="D24" s="5" t="s">
        <v>20</v>
      </c>
      <c r="E24" s="5" t="s">
        <v>21</v>
      </c>
      <c r="F24" s="5" t="s">
        <v>26</v>
      </c>
      <c r="G24" s="5" t="str">
        <f>IF(H24 &lt;&gt; 0, "あり", "なし")</f>
        <v>あり</v>
      </c>
      <c r="H24" s="5">
        <f>COUNTIF('sh02'!F:F, "x")</f>
        <v>5</v>
      </c>
      <c r="I24" s="5"/>
      <c r="J24" s="5" t="str">
        <f>IF(SUMPRODUCT(('sh02'!F:F="x")*('sh02'!D:D&lt;&gt;""))=G24, "OK", "NG")</f>
        <v>NG</v>
      </c>
      <c r="K24" s="5" t="str">
        <f>IF(SUMPRODUCT(('sh02'!F:F="x")*('sh02'!E:E&lt;&gt;""))=G24, "OK", "NG")</f>
        <v>NG</v>
      </c>
    </row>
    <row r="26" spans="2:11" x14ac:dyDescent="0.15">
      <c r="B26" t="s">
        <v>27</v>
      </c>
    </row>
    <row r="28" spans="2:11" x14ac:dyDescent="0.15">
      <c r="B28" t="s">
        <v>28</v>
      </c>
    </row>
    <row r="29" spans="2:11" x14ac:dyDescent="0.15">
      <c r="B29" t="s">
        <v>29</v>
      </c>
    </row>
    <row r="30" spans="2:11" x14ac:dyDescent="0.15">
      <c r="B30" t="s">
        <v>30</v>
      </c>
    </row>
    <row r="31" spans="2:11" x14ac:dyDescent="0.15">
      <c r="B31" t="s">
        <v>31</v>
      </c>
    </row>
    <row r="32" spans="2:11" x14ac:dyDescent="0.15">
      <c r="B32" t="s">
        <v>32</v>
      </c>
    </row>
    <row r="33" spans="2:2" x14ac:dyDescent="0.15">
      <c r="B33" t="s">
        <v>33</v>
      </c>
    </row>
    <row r="34" spans="2:2" x14ac:dyDescent="0.15">
      <c r="B34" t="s">
        <v>34</v>
      </c>
    </row>
    <row r="35" spans="2:2" x14ac:dyDescent="0.15">
      <c r="B35" t="s">
        <v>35</v>
      </c>
    </row>
    <row r="36" spans="2:2" x14ac:dyDescent="0.15">
      <c r="B36" t="s">
        <v>36</v>
      </c>
    </row>
    <row r="38" spans="2:2" ht="14.25" x14ac:dyDescent="0.15">
      <c r="B38" s="7" t="s">
        <v>37</v>
      </c>
    </row>
  </sheetData>
  <phoneticPr fontId="7"/>
  <hyperlinks>
    <hyperlink ref="C22" location="'sh00'!A1" display="sh00" xr:uid="{00000000-0004-0000-0000-000000000000}"/>
    <hyperlink ref="C23" location="'sh01'!A1" display="sh01" xr:uid="{00000000-0004-0000-0000-000001000000}"/>
    <hyperlink ref="C24" location="'sh02'!A1" display="sh02" xr:uid="{00000000-0004-0000-0000-000002000000}"/>
    <hyperlink ref="B38" r:id="rId1" xr:uid="{00000000-0004-0000-0000-000003000000}"/>
  </hyperlinks>
  <pageMargins left="0.75" right="0.75" top="1" bottom="1" header="0.5" footer="0.5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30"/>
  <sheetViews>
    <sheetView workbookViewId="0">
      <pane xSplit="13" ySplit="4" topLeftCell="N5" activePane="bottomRight" state="frozen"/>
      <selection pane="topRight"/>
      <selection pane="bottomLeft"/>
      <selection pane="bottomRight" activeCell="R1" sqref="R1"/>
    </sheetView>
  </sheetViews>
  <sheetFormatPr defaultRowHeight="13.5" x14ac:dyDescent="0.15"/>
  <cols>
    <col min="1" max="1" width="5" customWidth="1"/>
    <col min="2" max="3" width="13" hidden="1" customWidth="1"/>
    <col min="6" max="6" width="3" customWidth="1"/>
    <col min="7" max="7" width="15" customWidth="1"/>
    <col min="8" max="13" width="13" hidden="1" customWidth="1"/>
    <col min="14" max="14" width="5" customWidth="1"/>
    <col min="15" max="16" width="13" customWidth="1"/>
    <col min="17" max="17" width="3.625" customWidth="1"/>
    <col min="18" max="29" width="13" customWidth="1"/>
    <col min="30" max="30" width="5" customWidth="1"/>
    <col min="31" max="32" width="13" customWidth="1"/>
    <col min="33" max="33" width="3.625" customWidth="1"/>
    <col min="34" max="45" width="13" customWidth="1"/>
    <col min="46" max="46" width="5" customWidth="1"/>
    <col min="47" max="48" width="13" customWidth="1"/>
    <col min="49" max="49" width="3.625" customWidth="1"/>
    <col min="50" max="61" width="13" customWidth="1"/>
    <col min="62" max="62" width="5" customWidth="1"/>
  </cols>
  <sheetData>
    <row r="1" spans="1:62" ht="25.5" x14ac:dyDescent="0.25">
      <c r="A1" s="1" t="s">
        <v>38</v>
      </c>
      <c r="R1" s="7" t="s">
        <v>275</v>
      </c>
      <c r="BJ1" s="8"/>
    </row>
    <row r="2" spans="1:62" ht="2.1" customHeight="1" x14ac:dyDescent="0.1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</row>
    <row r="3" spans="1:62" ht="21" x14ac:dyDescent="0.2">
      <c r="A3" s="9" t="s">
        <v>39</v>
      </c>
      <c r="B3" t="s">
        <v>40</v>
      </c>
      <c r="C3" t="s">
        <v>41</v>
      </c>
      <c r="D3" t="s">
        <v>1</v>
      </c>
      <c r="E3" t="s">
        <v>2</v>
      </c>
      <c r="F3" t="s">
        <v>42</v>
      </c>
      <c r="G3" t="s">
        <v>43</v>
      </c>
      <c r="N3" s="10"/>
      <c r="O3" s="11" t="s">
        <v>20</v>
      </c>
      <c r="AD3" s="8"/>
      <c r="AE3" s="11" t="s">
        <v>21</v>
      </c>
      <c r="AT3" s="8"/>
      <c r="AU3" s="11" t="s">
        <v>44</v>
      </c>
      <c r="BJ3" s="8"/>
    </row>
    <row r="4" spans="1:62" x14ac:dyDescent="0.15">
      <c r="A4" s="10" t="s">
        <v>45</v>
      </c>
      <c r="B4" s="10" t="s">
        <v>46</v>
      </c>
      <c r="C4" s="10" t="s">
        <v>47</v>
      </c>
      <c r="D4" s="10" t="s">
        <v>48</v>
      </c>
      <c r="E4" s="10" t="s">
        <v>49</v>
      </c>
      <c r="F4" s="10" t="s">
        <v>50</v>
      </c>
      <c r="G4" s="10" t="s">
        <v>51</v>
      </c>
      <c r="H4" s="10" t="s">
        <v>52</v>
      </c>
      <c r="I4" s="10" t="s">
        <v>53</v>
      </c>
      <c r="J4" s="10" t="s">
        <v>54</v>
      </c>
      <c r="K4" s="10" t="s">
        <v>55</v>
      </c>
      <c r="L4" s="10" t="s">
        <v>56</v>
      </c>
      <c r="M4" s="10" t="s">
        <v>57</v>
      </c>
      <c r="N4" s="10" t="s">
        <v>58</v>
      </c>
      <c r="O4" s="10" t="s">
        <v>59</v>
      </c>
      <c r="P4" s="10" t="s">
        <v>60</v>
      </c>
      <c r="Q4" s="10" t="s">
        <v>61</v>
      </c>
      <c r="R4" s="10" t="s">
        <v>62</v>
      </c>
      <c r="S4" s="10" t="s">
        <v>63</v>
      </c>
      <c r="T4" s="10" t="s">
        <v>64</v>
      </c>
      <c r="U4" s="10" t="s">
        <v>65</v>
      </c>
      <c r="V4" s="10" t="s">
        <v>66</v>
      </c>
      <c r="W4" s="10" t="s">
        <v>67</v>
      </c>
      <c r="X4" s="10" t="s">
        <v>68</v>
      </c>
      <c r="Y4" s="10" t="s">
        <v>69</v>
      </c>
      <c r="Z4" s="10" t="s">
        <v>70</v>
      </c>
      <c r="AA4" s="10" t="s">
        <v>71</v>
      </c>
      <c r="AB4" s="10" t="s">
        <v>72</v>
      </c>
      <c r="AC4" s="10" t="s">
        <v>73</v>
      </c>
      <c r="AD4" s="10" t="s">
        <v>74</v>
      </c>
      <c r="AE4" s="10" t="s">
        <v>75</v>
      </c>
      <c r="AF4" s="10" t="s">
        <v>76</v>
      </c>
      <c r="AG4" s="10" t="s">
        <v>77</v>
      </c>
      <c r="AH4" s="10" t="s">
        <v>78</v>
      </c>
      <c r="AI4" s="10" t="s">
        <v>79</v>
      </c>
      <c r="AJ4" s="10" t="s">
        <v>80</v>
      </c>
      <c r="AK4" s="10" t="s">
        <v>81</v>
      </c>
      <c r="AL4" s="10" t="s">
        <v>82</v>
      </c>
      <c r="AM4" s="10" t="s">
        <v>83</v>
      </c>
      <c r="AN4" s="10" t="s">
        <v>84</v>
      </c>
      <c r="AO4" s="10" t="s">
        <v>85</v>
      </c>
      <c r="AP4" s="10" t="s">
        <v>86</v>
      </c>
      <c r="AQ4" s="10" t="s">
        <v>87</v>
      </c>
      <c r="AR4" s="10" t="s">
        <v>88</v>
      </c>
      <c r="AS4" s="10" t="s">
        <v>89</v>
      </c>
      <c r="AT4" s="10" t="s">
        <v>90</v>
      </c>
      <c r="AU4" s="10" t="s">
        <v>91</v>
      </c>
      <c r="AV4" s="10" t="s">
        <v>92</v>
      </c>
      <c r="AW4" s="10" t="s">
        <v>93</v>
      </c>
      <c r="AX4" s="10" t="s">
        <v>94</v>
      </c>
      <c r="AY4" s="10" t="s">
        <v>95</v>
      </c>
      <c r="AZ4" s="10" t="s">
        <v>96</v>
      </c>
      <c r="BA4" s="10" t="s">
        <v>97</v>
      </c>
      <c r="BB4" s="10" t="s">
        <v>98</v>
      </c>
      <c r="BC4" s="10" t="s">
        <v>99</v>
      </c>
      <c r="BD4" s="10" t="s">
        <v>100</v>
      </c>
      <c r="BE4" s="10" t="s">
        <v>101</v>
      </c>
      <c r="BF4" s="10" t="s">
        <v>102</v>
      </c>
      <c r="BG4" s="10" t="s">
        <v>103</v>
      </c>
      <c r="BH4" s="10" t="s">
        <v>104</v>
      </c>
      <c r="BI4" s="10" t="s">
        <v>105</v>
      </c>
      <c r="BJ4" s="8"/>
    </row>
    <row r="5" spans="1:62" x14ac:dyDescent="0.15">
      <c r="A5" s="12">
        <f t="shared" ref="A5:A30" si="0">ROW() - 4</f>
        <v>1</v>
      </c>
      <c r="B5" t="s">
        <v>106</v>
      </c>
      <c r="C5" t="s">
        <v>106</v>
      </c>
      <c r="D5" s="12"/>
      <c r="E5" s="12"/>
      <c r="F5" s="12"/>
      <c r="G5" s="12"/>
      <c r="H5" t="s">
        <v>107</v>
      </c>
      <c r="N5" s="8">
        <v>1</v>
      </c>
      <c r="O5" t="s">
        <v>108</v>
      </c>
      <c r="P5" t="s">
        <v>109</v>
      </c>
      <c r="Q5" t="s">
        <v>110</v>
      </c>
      <c r="R5" t="s">
        <v>111</v>
      </c>
      <c r="S5" t="s">
        <v>112</v>
      </c>
      <c r="T5" t="s">
        <v>113</v>
      </c>
      <c r="U5" t="s">
        <v>114</v>
      </c>
      <c r="V5" t="s">
        <v>115</v>
      </c>
      <c r="W5" t="s">
        <v>116</v>
      </c>
      <c r="X5" t="s">
        <v>117</v>
      </c>
      <c r="Y5" t="s">
        <v>118</v>
      </c>
      <c r="Z5" t="s">
        <v>119</v>
      </c>
      <c r="AA5" t="s">
        <v>120</v>
      </c>
      <c r="AB5" t="s">
        <v>121</v>
      </c>
      <c r="AC5" t="s">
        <v>122</v>
      </c>
      <c r="AD5" s="8">
        <v>1</v>
      </c>
      <c r="AE5" t="s">
        <v>108</v>
      </c>
      <c r="AF5" t="s">
        <v>109</v>
      </c>
      <c r="AG5" t="s">
        <v>110</v>
      </c>
      <c r="AH5" t="s">
        <v>111</v>
      </c>
      <c r="AI5" t="s">
        <v>112</v>
      </c>
      <c r="AJ5" t="s">
        <v>113</v>
      </c>
      <c r="AK5" t="s">
        <v>114</v>
      </c>
      <c r="AL5" t="s">
        <v>115</v>
      </c>
      <c r="AM5" t="s">
        <v>116</v>
      </c>
      <c r="AN5" t="s">
        <v>117</v>
      </c>
      <c r="AO5" t="s">
        <v>118</v>
      </c>
      <c r="AP5" t="s">
        <v>119</v>
      </c>
      <c r="AQ5" t="s">
        <v>120</v>
      </c>
      <c r="AR5" t="s">
        <v>121</v>
      </c>
      <c r="AS5" t="s">
        <v>122</v>
      </c>
      <c r="AT5" s="8">
        <v>1</v>
      </c>
      <c r="AU5" t="s">
        <v>108</v>
      </c>
      <c r="AV5" t="s">
        <v>109</v>
      </c>
      <c r="AW5" t="s">
        <v>110</v>
      </c>
      <c r="AX5" t="s">
        <v>111</v>
      </c>
      <c r="AY5" t="s">
        <v>112</v>
      </c>
      <c r="AZ5" t="s">
        <v>113</v>
      </c>
      <c r="BA5" t="s">
        <v>114</v>
      </c>
      <c r="BB5" t="s">
        <v>115</v>
      </c>
      <c r="BC5" t="s">
        <v>116</v>
      </c>
      <c r="BD5" t="s">
        <v>117</v>
      </c>
      <c r="BE5" t="s">
        <v>118</v>
      </c>
      <c r="BF5" t="s">
        <v>119</v>
      </c>
      <c r="BG5" t="s">
        <v>120</v>
      </c>
      <c r="BH5" t="s">
        <v>121</v>
      </c>
      <c r="BI5" t="s">
        <v>122</v>
      </c>
      <c r="BJ5" s="8">
        <v>1</v>
      </c>
    </row>
    <row r="6" spans="1:62" x14ac:dyDescent="0.15">
      <c r="A6" s="12">
        <f t="shared" si="0"/>
        <v>2</v>
      </c>
      <c r="B6" t="s">
        <v>123</v>
      </c>
      <c r="C6" t="s">
        <v>123</v>
      </c>
      <c r="D6" s="12"/>
      <c r="E6" s="12"/>
      <c r="F6" s="12"/>
      <c r="G6" s="12"/>
      <c r="H6" t="s">
        <v>107</v>
      </c>
      <c r="N6" s="8">
        <v>2</v>
      </c>
      <c r="O6" t="s">
        <v>124</v>
      </c>
      <c r="AD6" s="8">
        <v>2</v>
      </c>
      <c r="AE6" t="s">
        <v>124</v>
      </c>
      <c r="AT6" s="8">
        <v>2</v>
      </c>
      <c r="AU6" t="s">
        <v>124</v>
      </c>
      <c r="BJ6" s="8">
        <v>2</v>
      </c>
    </row>
    <row r="7" spans="1:62" x14ac:dyDescent="0.15">
      <c r="A7" s="12">
        <f t="shared" si="0"/>
        <v>3</v>
      </c>
      <c r="B7" t="s">
        <v>125</v>
      </c>
      <c r="C7" t="s">
        <v>125</v>
      </c>
      <c r="D7" s="12"/>
      <c r="E7" s="12"/>
      <c r="F7" s="12"/>
      <c r="G7" s="12"/>
      <c r="H7" t="s">
        <v>107</v>
      </c>
      <c r="N7" s="8">
        <v>3</v>
      </c>
      <c r="P7" t="s">
        <v>126</v>
      </c>
      <c r="R7" t="s">
        <v>127</v>
      </c>
      <c r="T7" t="s">
        <v>128</v>
      </c>
      <c r="Y7" t="s">
        <v>129</v>
      </c>
      <c r="AA7" t="s">
        <v>130</v>
      </c>
      <c r="AD7" s="8">
        <v>3</v>
      </c>
      <c r="AF7" t="s">
        <v>126</v>
      </c>
      <c r="AH7" t="s">
        <v>127</v>
      </c>
      <c r="AJ7" t="s">
        <v>128</v>
      </c>
      <c r="AO7" t="s">
        <v>129</v>
      </c>
      <c r="AQ7" t="s">
        <v>130</v>
      </c>
      <c r="AT7" s="8">
        <v>3</v>
      </c>
      <c r="AV7" t="s">
        <v>126</v>
      </c>
      <c r="AX7" t="s">
        <v>127</v>
      </c>
      <c r="AZ7" t="s">
        <v>128</v>
      </c>
      <c r="BE7" t="s">
        <v>129</v>
      </c>
      <c r="BG7" t="s">
        <v>130</v>
      </c>
      <c r="BJ7" s="8">
        <v>3</v>
      </c>
    </row>
    <row r="8" spans="1:62" x14ac:dyDescent="0.15">
      <c r="A8" s="12">
        <f t="shared" si="0"/>
        <v>4</v>
      </c>
      <c r="B8" t="s">
        <v>131</v>
      </c>
      <c r="C8" t="s">
        <v>131</v>
      </c>
      <c r="D8" s="12"/>
      <c r="E8" s="12"/>
      <c r="F8" s="12"/>
      <c r="G8" s="12"/>
      <c r="H8" t="s">
        <v>107</v>
      </c>
      <c r="N8" s="8">
        <v>4</v>
      </c>
      <c r="P8" t="s">
        <v>132</v>
      </c>
      <c r="R8" t="s">
        <v>133</v>
      </c>
      <c r="U8" t="s">
        <v>134</v>
      </c>
      <c r="V8" t="s">
        <v>135</v>
      </c>
      <c r="W8" t="s">
        <v>136</v>
      </c>
      <c r="X8" t="s">
        <v>137</v>
      </c>
      <c r="Z8" t="s">
        <v>138</v>
      </c>
      <c r="AD8" s="8">
        <v>4</v>
      </c>
      <c r="AF8" t="s">
        <v>132</v>
      </c>
      <c r="AH8" t="s">
        <v>133</v>
      </c>
      <c r="AK8" t="s">
        <v>134</v>
      </c>
      <c r="AL8" t="s">
        <v>135</v>
      </c>
      <c r="AM8" t="s">
        <v>136</v>
      </c>
      <c r="AN8" t="s">
        <v>137</v>
      </c>
      <c r="AP8" t="s">
        <v>138</v>
      </c>
      <c r="AT8" s="8">
        <v>4</v>
      </c>
      <c r="AV8" t="s">
        <v>132</v>
      </c>
      <c r="AX8" t="s">
        <v>133</v>
      </c>
      <c r="BA8" t="s">
        <v>134</v>
      </c>
      <c r="BB8" t="s">
        <v>135</v>
      </c>
      <c r="BC8" t="s">
        <v>136</v>
      </c>
      <c r="BD8" t="s">
        <v>137</v>
      </c>
      <c r="BF8" t="s">
        <v>138</v>
      </c>
      <c r="BJ8" s="8">
        <v>4</v>
      </c>
    </row>
    <row r="9" spans="1:62" x14ac:dyDescent="0.15">
      <c r="A9" s="12">
        <f t="shared" si="0"/>
        <v>5</v>
      </c>
      <c r="C9" t="s">
        <v>139</v>
      </c>
      <c r="D9" s="12"/>
      <c r="E9" s="12"/>
      <c r="F9" s="12" t="s">
        <v>140</v>
      </c>
      <c r="G9" s="12"/>
      <c r="N9" s="8"/>
      <c r="AD9" s="8">
        <v>5</v>
      </c>
      <c r="AF9" t="s">
        <v>141</v>
      </c>
      <c r="AK9" t="s">
        <v>142</v>
      </c>
      <c r="AM9" t="s">
        <v>143</v>
      </c>
      <c r="AQ9" t="s">
        <v>144</v>
      </c>
      <c r="AT9" s="8"/>
      <c r="AU9" s="13"/>
      <c r="AV9" s="14" t="s">
        <v>145</v>
      </c>
      <c r="AW9" s="13"/>
      <c r="AX9" s="13"/>
      <c r="AY9" s="13"/>
      <c r="AZ9" s="13"/>
      <c r="BA9" s="14" t="s">
        <v>146</v>
      </c>
      <c r="BB9" s="13"/>
      <c r="BC9" s="14" t="s">
        <v>147</v>
      </c>
      <c r="BD9" s="13"/>
      <c r="BE9" s="13"/>
      <c r="BF9" s="13"/>
      <c r="BG9" s="14" t="s">
        <v>148</v>
      </c>
      <c r="BH9" s="13"/>
      <c r="BI9" s="13"/>
      <c r="BJ9" s="8">
        <v>5</v>
      </c>
    </row>
    <row r="10" spans="1:62" x14ac:dyDescent="0.15">
      <c r="A10" s="12">
        <f t="shared" si="0"/>
        <v>6</v>
      </c>
      <c r="B10" t="s">
        <v>149</v>
      </c>
      <c r="C10" t="s">
        <v>149</v>
      </c>
      <c r="D10" s="12"/>
      <c r="E10" s="12"/>
      <c r="F10" s="12"/>
      <c r="G10" s="12"/>
      <c r="H10" t="s">
        <v>107</v>
      </c>
      <c r="N10" s="8">
        <v>5</v>
      </c>
      <c r="P10" t="s">
        <v>150</v>
      </c>
      <c r="R10" t="s">
        <v>151</v>
      </c>
      <c r="T10" t="s">
        <v>152</v>
      </c>
      <c r="V10" t="s">
        <v>153</v>
      </c>
      <c r="AA10" t="s">
        <v>154</v>
      </c>
      <c r="AC10" t="s">
        <v>155</v>
      </c>
      <c r="AD10" s="8">
        <v>6</v>
      </c>
      <c r="AF10" t="s">
        <v>150</v>
      </c>
      <c r="AH10" t="s">
        <v>151</v>
      </c>
      <c r="AJ10" t="s">
        <v>152</v>
      </c>
      <c r="AL10" t="s">
        <v>153</v>
      </c>
      <c r="AQ10" t="s">
        <v>154</v>
      </c>
      <c r="AS10" t="s">
        <v>155</v>
      </c>
      <c r="AT10" s="8">
        <v>5</v>
      </c>
      <c r="AV10" t="s">
        <v>150</v>
      </c>
      <c r="AX10" t="s">
        <v>151</v>
      </c>
      <c r="AZ10" t="s">
        <v>152</v>
      </c>
      <c r="BB10" t="s">
        <v>153</v>
      </c>
      <c r="BG10" t="s">
        <v>154</v>
      </c>
      <c r="BI10" t="s">
        <v>155</v>
      </c>
      <c r="BJ10" s="8">
        <v>6</v>
      </c>
    </row>
    <row r="11" spans="1:62" x14ac:dyDescent="0.15">
      <c r="A11" s="12">
        <f t="shared" si="0"/>
        <v>7</v>
      </c>
      <c r="B11" t="s">
        <v>156</v>
      </c>
      <c r="C11" t="s">
        <v>156</v>
      </c>
      <c r="D11" s="12"/>
      <c r="E11" s="12"/>
      <c r="F11" s="12"/>
      <c r="G11" s="12"/>
      <c r="H11" t="s">
        <v>107</v>
      </c>
      <c r="N11" s="8">
        <v>6</v>
      </c>
      <c r="P11" t="s">
        <v>157</v>
      </c>
      <c r="U11" t="s">
        <v>158</v>
      </c>
      <c r="Y11" t="s">
        <v>159</v>
      </c>
      <c r="AA11" t="s">
        <v>160</v>
      </c>
      <c r="AD11" s="8">
        <v>7</v>
      </c>
      <c r="AF11" t="s">
        <v>157</v>
      </c>
      <c r="AK11" t="s">
        <v>158</v>
      </c>
      <c r="AO11" t="s">
        <v>159</v>
      </c>
      <c r="AQ11" t="s">
        <v>160</v>
      </c>
      <c r="AT11" s="8">
        <v>6</v>
      </c>
      <c r="AV11" t="s">
        <v>157</v>
      </c>
      <c r="BA11" t="s">
        <v>158</v>
      </c>
      <c r="BE11" t="s">
        <v>159</v>
      </c>
      <c r="BG11" t="s">
        <v>160</v>
      </c>
      <c r="BJ11" s="8">
        <v>7</v>
      </c>
    </row>
    <row r="12" spans="1:62" x14ac:dyDescent="0.15">
      <c r="A12" s="12">
        <f t="shared" si="0"/>
        <v>8</v>
      </c>
      <c r="B12" t="s">
        <v>161</v>
      </c>
      <c r="C12" t="s">
        <v>161</v>
      </c>
      <c r="D12" s="12"/>
      <c r="E12" s="12"/>
      <c r="F12" s="12"/>
      <c r="G12" s="12"/>
      <c r="H12" t="s">
        <v>107</v>
      </c>
      <c r="N12" s="8">
        <v>7</v>
      </c>
      <c r="O12" t="s">
        <v>162</v>
      </c>
      <c r="S12" t="s">
        <v>163</v>
      </c>
      <c r="W12" t="s">
        <v>164</v>
      </c>
      <c r="AB12" t="s">
        <v>165</v>
      </c>
      <c r="AC12" t="s">
        <v>136</v>
      </c>
      <c r="AD12" s="8">
        <v>8</v>
      </c>
      <c r="AE12" t="s">
        <v>162</v>
      </c>
      <c r="AI12" t="s">
        <v>163</v>
      </c>
      <c r="AM12" t="s">
        <v>164</v>
      </c>
      <c r="AR12" t="s">
        <v>165</v>
      </c>
      <c r="AS12" t="s">
        <v>136</v>
      </c>
      <c r="AT12" s="8">
        <v>7</v>
      </c>
      <c r="AU12" t="s">
        <v>162</v>
      </c>
      <c r="AY12" t="s">
        <v>163</v>
      </c>
      <c r="BC12" t="s">
        <v>164</v>
      </c>
      <c r="BH12" t="s">
        <v>165</v>
      </c>
      <c r="BI12" t="s">
        <v>136</v>
      </c>
      <c r="BJ12" s="8">
        <v>8</v>
      </c>
    </row>
    <row r="13" spans="1:62" x14ac:dyDescent="0.15">
      <c r="A13" s="12">
        <f t="shared" si="0"/>
        <v>9</v>
      </c>
      <c r="B13" t="s">
        <v>166</v>
      </c>
      <c r="C13" t="s">
        <v>166</v>
      </c>
      <c r="D13" s="12"/>
      <c r="E13" s="12"/>
      <c r="F13" s="12"/>
      <c r="G13" s="12"/>
      <c r="H13" t="s">
        <v>107</v>
      </c>
      <c r="N13" s="8">
        <v>8</v>
      </c>
      <c r="P13" t="s">
        <v>167</v>
      </c>
      <c r="R13" t="s">
        <v>168</v>
      </c>
      <c r="T13" t="s">
        <v>169</v>
      </c>
      <c r="V13" t="s">
        <v>170</v>
      </c>
      <c r="X13" t="s">
        <v>171</v>
      </c>
      <c r="AA13" t="s">
        <v>172</v>
      </c>
      <c r="AD13" s="8">
        <v>9</v>
      </c>
      <c r="AF13" t="s">
        <v>167</v>
      </c>
      <c r="AH13" t="s">
        <v>168</v>
      </c>
      <c r="AJ13" t="s">
        <v>169</v>
      </c>
      <c r="AL13" t="s">
        <v>170</v>
      </c>
      <c r="AN13" t="s">
        <v>171</v>
      </c>
      <c r="AQ13" t="s">
        <v>172</v>
      </c>
      <c r="AT13" s="8">
        <v>8</v>
      </c>
      <c r="AV13" t="s">
        <v>167</v>
      </c>
      <c r="AX13" t="s">
        <v>168</v>
      </c>
      <c r="AZ13" t="s">
        <v>169</v>
      </c>
      <c r="BB13" t="s">
        <v>170</v>
      </c>
      <c r="BD13" t="s">
        <v>171</v>
      </c>
      <c r="BG13" t="s">
        <v>172</v>
      </c>
      <c r="BJ13" s="8">
        <v>9</v>
      </c>
    </row>
    <row r="14" spans="1:62" x14ac:dyDescent="0.15">
      <c r="A14" s="12">
        <f t="shared" si="0"/>
        <v>10</v>
      </c>
      <c r="C14" t="s">
        <v>173</v>
      </c>
      <c r="D14" s="12"/>
      <c r="E14" s="12"/>
      <c r="F14" s="12" t="s">
        <v>140</v>
      </c>
      <c r="G14" s="12"/>
      <c r="N14" s="8"/>
      <c r="AD14" s="8">
        <v>10</v>
      </c>
      <c r="AF14" t="s">
        <v>174</v>
      </c>
      <c r="AH14" t="s">
        <v>175</v>
      </c>
      <c r="AI14" t="s">
        <v>176</v>
      </c>
      <c r="AM14" t="s">
        <v>177</v>
      </c>
      <c r="AO14" t="s">
        <v>171</v>
      </c>
      <c r="AT14" s="8"/>
      <c r="AU14" s="13"/>
      <c r="AV14" s="14" t="s">
        <v>178</v>
      </c>
      <c r="AW14" s="13"/>
      <c r="AX14" s="14" t="s">
        <v>179</v>
      </c>
      <c r="AY14" s="14" t="s">
        <v>180</v>
      </c>
      <c r="AZ14" s="13"/>
      <c r="BA14" s="13"/>
      <c r="BB14" s="13"/>
      <c r="BC14" s="14" t="s">
        <v>181</v>
      </c>
      <c r="BD14" s="13"/>
      <c r="BE14" s="14" t="s">
        <v>182</v>
      </c>
      <c r="BF14" s="13"/>
      <c r="BG14" s="13"/>
      <c r="BH14" s="13"/>
      <c r="BI14" s="13"/>
      <c r="BJ14" s="8">
        <v>10</v>
      </c>
    </row>
    <row r="15" spans="1:62" x14ac:dyDescent="0.15">
      <c r="A15" s="12">
        <f t="shared" si="0"/>
        <v>11</v>
      </c>
      <c r="B15" t="s">
        <v>139</v>
      </c>
      <c r="D15" s="12"/>
      <c r="E15" s="12"/>
      <c r="F15" s="12" t="s">
        <v>140</v>
      </c>
      <c r="G15" s="12"/>
      <c r="N15" s="8">
        <v>9</v>
      </c>
      <c r="P15" t="s">
        <v>141</v>
      </c>
      <c r="U15" t="s">
        <v>142</v>
      </c>
      <c r="W15" t="s">
        <v>143</v>
      </c>
      <c r="AA15" t="s">
        <v>144</v>
      </c>
      <c r="AD15" s="8"/>
      <c r="AT15" s="8">
        <v>9</v>
      </c>
      <c r="AU15" s="13"/>
      <c r="AV15" s="14" t="s">
        <v>183</v>
      </c>
      <c r="AW15" s="13"/>
      <c r="AX15" s="13"/>
      <c r="AY15" s="13"/>
      <c r="AZ15" s="13"/>
      <c r="BA15" s="14" t="s">
        <v>184</v>
      </c>
      <c r="BB15" s="13"/>
      <c r="BC15" s="14" t="s">
        <v>185</v>
      </c>
      <c r="BD15" s="13"/>
      <c r="BE15" s="13"/>
      <c r="BF15" s="13"/>
      <c r="BG15" s="14" t="s">
        <v>186</v>
      </c>
      <c r="BH15" s="13"/>
      <c r="BI15" s="13"/>
      <c r="BJ15" s="8"/>
    </row>
    <row r="16" spans="1:62" x14ac:dyDescent="0.15">
      <c r="A16" s="12">
        <f t="shared" si="0"/>
        <v>12</v>
      </c>
      <c r="B16" t="s">
        <v>187</v>
      </c>
      <c r="D16" s="12"/>
      <c r="E16" s="12"/>
      <c r="F16" s="12" t="s">
        <v>140</v>
      </c>
      <c r="G16" s="12"/>
      <c r="N16" s="8">
        <v>10</v>
      </c>
      <c r="P16" t="s">
        <v>188</v>
      </c>
      <c r="R16" t="s">
        <v>175</v>
      </c>
      <c r="S16" t="s">
        <v>176</v>
      </c>
      <c r="W16" t="s">
        <v>177</v>
      </c>
      <c r="Y16" t="s">
        <v>171</v>
      </c>
      <c r="AD16" s="8"/>
      <c r="AT16" s="8">
        <v>10</v>
      </c>
      <c r="AU16" s="13"/>
      <c r="AV16" s="14" t="s">
        <v>189</v>
      </c>
      <c r="AW16" s="13"/>
      <c r="AX16" s="14" t="s">
        <v>190</v>
      </c>
      <c r="AY16" s="14" t="s">
        <v>191</v>
      </c>
      <c r="AZ16" s="13"/>
      <c r="BA16" s="13"/>
      <c r="BB16" s="13"/>
      <c r="BC16" s="14" t="s">
        <v>192</v>
      </c>
      <c r="BD16" s="13"/>
      <c r="BE16" s="14" t="s">
        <v>193</v>
      </c>
      <c r="BF16" s="13"/>
      <c r="BG16" s="13"/>
      <c r="BH16" s="13"/>
      <c r="BI16" s="13"/>
      <c r="BJ16" s="8"/>
    </row>
    <row r="17" spans="1:62" x14ac:dyDescent="0.15">
      <c r="A17" s="12">
        <f t="shared" si="0"/>
        <v>13</v>
      </c>
      <c r="B17" t="s">
        <v>194</v>
      </c>
      <c r="C17" t="s">
        <v>194</v>
      </c>
      <c r="D17" s="12"/>
      <c r="E17" s="12"/>
      <c r="F17" s="12"/>
      <c r="G17" s="12"/>
      <c r="H17" t="s">
        <v>107</v>
      </c>
      <c r="N17" s="8">
        <v>11</v>
      </c>
      <c r="P17" t="s">
        <v>195</v>
      </c>
      <c r="S17" t="s">
        <v>136</v>
      </c>
      <c r="U17" t="s">
        <v>196</v>
      </c>
      <c r="AD17" s="8">
        <v>11</v>
      </c>
      <c r="AF17" t="s">
        <v>195</v>
      </c>
      <c r="AI17" t="s">
        <v>136</v>
      </c>
      <c r="AK17" t="s">
        <v>196</v>
      </c>
      <c r="AT17" s="8">
        <v>11</v>
      </c>
      <c r="AV17" t="s">
        <v>195</v>
      </c>
      <c r="AY17" t="s">
        <v>136</v>
      </c>
      <c r="BA17" t="s">
        <v>196</v>
      </c>
      <c r="BJ17" s="8">
        <v>11</v>
      </c>
    </row>
    <row r="18" spans="1:62" x14ac:dyDescent="0.15">
      <c r="A18" s="12">
        <f t="shared" si="0"/>
        <v>14</v>
      </c>
      <c r="B18" t="s">
        <v>197</v>
      </c>
      <c r="C18" t="s">
        <v>197</v>
      </c>
      <c r="D18" s="12"/>
      <c r="E18" s="12"/>
      <c r="F18" s="12"/>
      <c r="G18" s="12"/>
      <c r="H18" t="s">
        <v>107</v>
      </c>
      <c r="N18" s="8">
        <v>12</v>
      </c>
      <c r="O18" t="s">
        <v>198</v>
      </c>
      <c r="T18" t="s">
        <v>199</v>
      </c>
      <c r="W18" t="s">
        <v>136</v>
      </c>
      <c r="Y18" t="s">
        <v>200</v>
      </c>
      <c r="Z18" t="s">
        <v>201</v>
      </c>
      <c r="AA18" t="s">
        <v>202</v>
      </c>
      <c r="AB18" t="s">
        <v>203</v>
      </c>
      <c r="AD18" s="8">
        <v>12</v>
      </c>
      <c r="AE18" t="s">
        <v>198</v>
      </c>
      <c r="AJ18" t="s">
        <v>199</v>
      </c>
      <c r="AM18" t="s">
        <v>136</v>
      </c>
      <c r="AO18" t="s">
        <v>200</v>
      </c>
      <c r="AP18" t="s">
        <v>201</v>
      </c>
      <c r="AQ18" t="s">
        <v>202</v>
      </c>
      <c r="AR18" t="s">
        <v>203</v>
      </c>
      <c r="AT18" s="8">
        <v>12</v>
      </c>
      <c r="AU18" t="s">
        <v>198</v>
      </c>
      <c r="AZ18" t="s">
        <v>199</v>
      </c>
      <c r="BC18" t="s">
        <v>136</v>
      </c>
      <c r="BE18" t="s">
        <v>200</v>
      </c>
      <c r="BF18" t="s">
        <v>201</v>
      </c>
      <c r="BG18" t="s">
        <v>202</v>
      </c>
      <c r="BH18" t="s">
        <v>203</v>
      </c>
      <c r="BJ18" s="8">
        <v>12</v>
      </c>
    </row>
    <row r="19" spans="1:62" x14ac:dyDescent="0.15">
      <c r="A19" s="12">
        <f t="shared" si="0"/>
        <v>15</v>
      </c>
      <c r="B19" t="s">
        <v>204</v>
      </c>
      <c r="C19" t="s">
        <v>204</v>
      </c>
      <c r="D19" s="12"/>
      <c r="E19" s="12"/>
      <c r="F19" s="12"/>
      <c r="G19" s="12"/>
      <c r="H19" t="s">
        <v>107</v>
      </c>
      <c r="N19" s="8">
        <v>13</v>
      </c>
      <c r="P19" t="s">
        <v>205</v>
      </c>
      <c r="T19" t="s">
        <v>206</v>
      </c>
      <c r="V19" t="s">
        <v>136</v>
      </c>
      <c r="X19" t="s">
        <v>207</v>
      </c>
      <c r="AD19" s="8">
        <v>13</v>
      </c>
      <c r="AF19" t="s">
        <v>205</v>
      </c>
      <c r="AJ19" t="s">
        <v>206</v>
      </c>
      <c r="AL19" t="s">
        <v>136</v>
      </c>
      <c r="AN19" t="s">
        <v>207</v>
      </c>
      <c r="AT19" s="8">
        <v>13</v>
      </c>
      <c r="AV19" t="s">
        <v>205</v>
      </c>
      <c r="AZ19" t="s">
        <v>206</v>
      </c>
      <c r="BB19" t="s">
        <v>136</v>
      </c>
      <c r="BD19" t="s">
        <v>207</v>
      </c>
      <c r="BJ19" s="8">
        <v>13</v>
      </c>
    </row>
    <row r="20" spans="1:62" x14ac:dyDescent="0.15">
      <c r="A20" s="12">
        <f t="shared" si="0"/>
        <v>16</v>
      </c>
      <c r="B20" t="s">
        <v>208</v>
      </c>
      <c r="C20" t="s">
        <v>208</v>
      </c>
      <c r="D20" s="12"/>
      <c r="E20" s="12"/>
      <c r="F20" s="12"/>
      <c r="G20" s="12"/>
      <c r="H20" t="s">
        <v>107</v>
      </c>
      <c r="N20" s="8">
        <v>14</v>
      </c>
      <c r="P20" t="s">
        <v>209</v>
      </c>
      <c r="S20" t="s">
        <v>210</v>
      </c>
      <c r="U20" t="s">
        <v>211</v>
      </c>
      <c r="V20" t="s">
        <v>212</v>
      </c>
      <c r="AD20" s="8">
        <v>14</v>
      </c>
      <c r="AF20" t="s">
        <v>209</v>
      </c>
      <c r="AI20" t="s">
        <v>210</v>
      </c>
      <c r="AK20" t="s">
        <v>211</v>
      </c>
      <c r="AL20" t="s">
        <v>212</v>
      </c>
      <c r="AT20" s="8">
        <v>14</v>
      </c>
      <c r="AV20" t="s">
        <v>209</v>
      </c>
      <c r="AY20" t="s">
        <v>210</v>
      </c>
      <c r="BA20" t="s">
        <v>211</v>
      </c>
      <c r="BB20" t="s">
        <v>212</v>
      </c>
      <c r="BJ20" s="8">
        <v>14</v>
      </c>
    </row>
    <row r="21" spans="1:62" x14ac:dyDescent="0.15">
      <c r="A21" s="12">
        <f t="shared" si="0"/>
        <v>17</v>
      </c>
      <c r="C21" t="s">
        <v>213</v>
      </c>
      <c r="D21" s="12"/>
      <c r="E21" s="12"/>
      <c r="F21" s="12" t="s">
        <v>140</v>
      </c>
      <c r="G21" s="12"/>
      <c r="N21" s="8"/>
      <c r="AD21" s="8">
        <v>15</v>
      </c>
      <c r="AF21" t="s">
        <v>214</v>
      </c>
      <c r="AI21" t="s">
        <v>215</v>
      </c>
      <c r="AJ21" t="s">
        <v>216</v>
      </c>
      <c r="AL21" t="s">
        <v>217</v>
      </c>
      <c r="AP21" t="s">
        <v>218</v>
      </c>
      <c r="AQ21" t="s">
        <v>219</v>
      </c>
      <c r="AR21" t="s">
        <v>220</v>
      </c>
      <c r="AT21" s="8"/>
      <c r="AU21" s="13"/>
      <c r="AV21" s="14" t="s">
        <v>221</v>
      </c>
      <c r="AW21" s="13"/>
      <c r="AX21" s="13"/>
      <c r="AY21" s="14" t="s">
        <v>222</v>
      </c>
      <c r="AZ21" s="14" t="s">
        <v>223</v>
      </c>
      <c r="BA21" s="13"/>
      <c r="BB21" s="14" t="s">
        <v>224</v>
      </c>
      <c r="BC21" s="13"/>
      <c r="BD21" s="13"/>
      <c r="BE21" s="13"/>
      <c r="BF21" s="14" t="s">
        <v>225</v>
      </c>
      <c r="BG21" s="14" t="s">
        <v>226</v>
      </c>
      <c r="BH21" s="14" t="s">
        <v>227</v>
      </c>
      <c r="BI21" s="13"/>
      <c r="BJ21" s="8">
        <v>15</v>
      </c>
    </row>
    <row r="22" spans="1:62" x14ac:dyDescent="0.15">
      <c r="A22" s="12">
        <f t="shared" si="0"/>
        <v>18</v>
      </c>
      <c r="B22" t="s">
        <v>228</v>
      </c>
      <c r="C22" t="s">
        <v>228</v>
      </c>
      <c r="D22" s="12"/>
      <c r="E22" s="12"/>
      <c r="F22" s="12"/>
      <c r="G22" s="12"/>
      <c r="H22" t="s">
        <v>107</v>
      </c>
      <c r="N22" s="8">
        <v>15</v>
      </c>
      <c r="P22" t="s">
        <v>229</v>
      </c>
      <c r="T22" t="s">
        <v>230</v>
      </c>
      <c r="U22" t="s">
        <v>196</v>
      </c>
      <c r="Y22" t="s">
        <v>231</v>
      </c>
      <c r="AC22" t="s">
        <v>135</v>
      </c>
      <c r="AD22" s="8">
        <v>16</v>
      </c>
      <c r="AF22" t="s">
        <v>229</v>
      </c>
      <c r="AJ22" t="s">
        <v>230</v>
      </c>
      <c r="AK22" t="s">
        <v>196</v>
      </c>
      <c r="AO22" t="s">
        <v>231</v>
      </c>
      <c r="AS22" t="s">
        <v>135</v>
      </c>
      <c r="AT22" s="8">
        <v>15</v>
      </c>
      <c r="AV22" t="s">
        <v>229</v>
      </c>
      <c r="AZ22" t="s">
        <v>230</v>
      </c>
      <c r="BA22" t="s">
        <v>196</v>
      </c>
      <c r="BE22" t="s">
        <v>231</v>
      </c>
      <c r="BI22" t="s">
        <v>135</v>
      </c>
      <c r="BJ22" s="8">
        <v>16</v>
      </c>
    </row>
    <row r="23" spans="1:62" x14ac:dyDescent="0.15">
      <c r="A23" s="12">
        <f t="shared" si="0"/>
        <v>19</v>
      </c>
      <c r="B23" t="s">
        <v>232</v>
      </c>
      <c r="C23" t="s">
        <v>232</v>
      </c>
      <c r="D23" s="12"/>
      <c r="E23" s="12"/>
      <c r="F23" s="12"/>
      <c r="G23" s="12"/>
      <c r="H23" t="s">
        <v>107</v>
      </c>
      <c r="N23" s="8">
        <v>16</v>
      </c>
      <c r="P23" t="s">
        <v>233</v>
      </c>
      <c r="S23" t="s">
        <v>234</v>
      </c>
      <c r="U23" t="s">
        <v>235</v>
      </c>
      <c r="V23" t="s">
        <v>236</v>
      </c>
      <c r="AB23" t="s">
        <v>237</v>
      </c>
      <c r="AD23" s="8">
        <v>17</v>
      </c>
      <c r="AF23" t="s">
        <v>233</v>
      </c>
      <c r="AI23" t="s">
        <v>234</v>
      </c>
      <c r="AK23" t="s">
        <v>235</v>
      </c>
      <c r="AL23" t="s">
        <v>236</v>
      </c>
      <c r="AR23" t="s">
        <v>237</v>
      </c>
      <c r="AT23" s="8">
        <v>16</v>
      </c>
      <c r="AV23" t="s">
        <v>233</v>
      </c>
      <c r="AY23" t="s">
        <v>234</v>
      </c>
      <c r="BA23" t="s">
        <v>235</v>
      </c>
      <c r="BB23" t="s">
        <v>236</v>
      </c>
      <c r="BH23" t="s">
        <v>237</v>
      </c>
      <c r="BJ23" s="8">
        <v>17</v>
      </c>
    </row>
    <row r="24" spans="1:62" x14ac:dyDescent="0.15">
      <c r="A24" s="12">
        <f t="shared" si="0"/>
        <v>20</v>
      </c>
      <c r="B24" t="s">
        <v>238</v>
      </c>
      <c r="C24" t="s">
        <v>238</v>
      </c>
      <c r="D24" s="12"/>
      <c r="E24" s="12"/>
      <c r="F24" s="12"/>
      <c r="G24" s="12"/>
      <c r="H24" t="s">
        <v>107</v>
      </c>
      <c r="N24" s="8">
        <v>17</v>
      </c>
      <c r="O24" t="s">
        <v>239</v>
      </c>
      <c r="AD24" s="8">
        <v>18</v>
      </c>
      <c r="AE24" t="s">
        <v>239</v>
      </c>
      <c r="AT24" s="8">
        <v>17</v>
      </c>
      <c r="AU24" t="s">
        <v>239</v>
      </c>
      <c r="BJ24" s="8">
        <v>18</v>
      </c>
    </row>
    <row r="25" spans="1:62" x14ac:dyDescent="0.15">
      <c r="A25" s="12">
        <f t="shared" si="0"/>
        <v>21</v>
      </c>
      <c r="B25" t="s">
        <v>240</v>
      </c>
      <c r="C25" t="s">
        <v>240</v>
      </c>
      <c r="D25" s="12"/>
      <c r="E25" s="12"/>
      <c r="F25" s="12"/>
      <c r="G25" s="12"/>
      <c r="H25" t="s">
        <v>107</v>
      </c>
      <c r="N25" s="8">
        <v>18</v>
      </c>
      <c r="P25" t="s">
        <v>241</v>
      </c>
      <c r="S25" t="s">
        <v>206</v>
      </c>
      <c r="U25" t="s">
        <v>136</v>
      </c>
      <c r="W25" t="s">
        <v>207</v>
      </c>
      <c r="Y25" t="s">
        <v>242</v>
      </c>
      <c r="Z25" t="s">
        <v>196</v>
      </c>
      <c r="AB25" t="s">
        <v>243</v>
      </c>
      <c r="AC25" t="s">
        <v>244</v>
      </c>
      <c r="AD25" s="8">
        <v>19</v>
      </c>
      <c r="AF25" t="s">
        <v>241</v>
      </c>
      <c r="AI25" t="s">
        <v>206</v>
      </c>
      <c r="AK25" t="s">
        <v>136</v>
      </c>
      <c r="AM25" t="s">
        <v>207</v>
      </c>
      <c r="AO25" t="s">
        <v>242</v>
      </c>
      <c r="AP25" t="s">
        <v>196</v>
      </c>
      <c r="AR25" t="s">
        <v>243</v>
      </c>
      <c r="AS25" t="s">
        <v>244</v>
      </c>
      <c r="AT25" s="8">
        <v>18</v>
      </c>
      <c r="AV25" t="s">
        <v>241</v>
      </c>
      <c r="AY25" t="s">
        <v>206</v>
      </c>
      <c r="BA25" t="s">
        <v>136</v>
      </c>
      <c r="BC25" t="s">
        <v>207</v>
      </c>
      <c r="BE25" t="s">
        <v>242</v>
      </c>
      <c r="BF25" t="s">
        <v>196</v>
      </c>
      <c r="BH25" t="s">
        <v>243</v>
      </c>
      <c r="BI25" t="s">
        <v>244</v>
      </c>
      <c r="BJ25" s="8">
        <v>19</v>
      </c>
    </row>
    <row r="26" spans="1:62" x14ac:dyDescent="0.15">
      <c r="A26" s="12">
        <f t="shared" si="0"/>
        <v>22</v>
      </c>
      <c r="B26" t="s">
        <v>245</v>
      </c>
      <c r="C26" t="s">
        <v>245</v>
      </c>
      <c r="D26" s="12"/>
      <c r="E26" s="12"/>
      <c r="F26" s="12"/>
      <c r="G26" s="12"/>
      <c r="H26" t="s">
        <v>107</v>
      </c>
      <c r="N26" s="8">
        <v>19</v>
      </c>
      <c r="P26" t="s">
        <v>246</v>
      </c>
      <c r="R26" t="s">
        <v>210</v>
      </c>
      <c r="T26" t="s">
        <v>211</v>
      </c>
      <c r="U26" t="s">
        <v>212</v>
      </c>
      <c r="Y26" t="s">
        <v>247</v>
      </c>
      <c r="AA26" t="s">
        <v>248</v>
      </c>
      <c r="AB26" t="s">
        <v>249</v>
      </c>
      <c r="AD26" s="8">
        <v>20</v>
      </c>
      <c r="AF26" t="s">
        <v>246</v>
      </c>
      <c r="AH26" t="s">
        <v>210</v>
      </c>
      <c r="AJ26" t="s">
        <v>211</v>
      </c>
      <c r="AK26" t="s">
        <v>212</v>
      </c>
      <c r="AO26" t="s">
        <v>247</v>
      </c>
      <c r="AQ26" t="s">
        <v>248</v>
      </c>
      <c r="AR26" t="s">
        <v>249</v>
      </c>
      <c r="AT26" s="8">
        <v>19</v>
      </c>
      <c r="AV26" t="s">
        <v>246</v>
      </c>
      <c r="AX26" t="s">
        <v>210</v>
      </c>
      <c r="AZ26" t="s">
        <v>211</v>
      </c>
      <c r="BA26" t="s">
        <v>212</v>
      </c>
      <c r="BE26" t="s">
        <v>247</v>
      </c>
      <c r="BG26" t="s">
        <v>248</v>
      </c>
      <c r="BH26" t="s">
        <v>249</v>
      </c>
      <c r="BJ26" s="8">
        <v>20</v>
      </c>
    </row>
    <row r="27" spans="1:62" x14ac:dyDescent="0.15">
      <c r="A27" s="12">
        <f t="shared" si="0"/>
        <v>23</v>
      </c>
      <c r="B27" t="s">
        <v>250</v>
      </c>
      <c r="D27" s="12"/>
      <c r="E27" s="12"/>
      <c r="F27" s="12" t="s">
        <v>140</v>
      </c>
      <c r="G27" s="12"/>
      <c r="N27" s="8">
        <v>20</v>
      </c>
      <c r="P27" t="s">
        <v>251</v>
      </c>
      <c r="T27" t="s">
        <v>134</v>
      </c>
      <c r="U27" t="s">
        <v>135</v>
      </c>
      <c r="V27" t="s">
        <v>136</v>
      </c>
      <c r="W27" t="s">
        <v>137</v>
      </c>
      <c r="Y27" t="s">
        <v>138</v>
      </c>
      <c r="AA27" t="s">
        <v>252</v>
      </c>
      <c r="AD27" s="8"/>
      <c r="AT27" s="8">
        <v>20</v>
      </c>
      <c r="AU27" s="13"/>
      <c r="AV27" s="14" t="s">
        <v>253</v>
      </c>
      <c r="AW27" s="13"/>
      <c r="AX27" s="13"/>
      <c r="AY27" s="13"/>
      <c r="AZ27" s="14" t="s">
        <v>254</v>
      </c>
      <c r="BA27" s="14" t="s">
        <v>255</v>
      </c>
      <c r="BB27" s="14" t="s">
        <v>256</v>
      </c>
      <c r="BC27" s="14" t="s">
        <v>257</v>
      </c>
      <c r="BD27" s="13"/>
      <c r="BE27" s="14" t="s">
        <v>258</v>
      </c>
      <c r="BF27" s="13"/>
      <c r="BG27" s="14" t="s">
        <v>259</v>
      </c>
      <c r="BH27" s="13"/>
      <c r="BI27" s="13"/>
      <c r="BJ27" s="8"/>
    </row>
    <row r="28" spans="1:62" x14ac:dyDescent="0.15">
      <c r="A28" s="12">
        <f t="shared" si="0"/>
        <v>24</v>
      </c>
      <c r="B28" t="s">
        <v>260</v>
      </c>
      <c r="C28" t="s">
        <v>260</v>
      </c>
      <c r="D28" s="12"/>
      <c r="E28" s="12"/>
      <c r="F28" s="12"/>
      <c r="G28" s="12"/>
      <c r="H28" t="s">
        <v>107</v>
      </c>
      <c r="N28" s="8">
        <v>21</v>
      </c>
      <c r="P28" t="s">
        <v>261</v>
      </c>
      <c r="U28" t="s">
        <v>136</v>
      </c>
      <c r="W28" t="s">
        <v>200</v>
      </c>
      <c r="X28" t="s">
        <v>201</v>
      </c>
      <c r="Y28" t="s">
        <v>202</v>
      </c>
      <c r="Z28" t="s">
        <v>203</v>
      </c>
      <c r="AA28" t="s">
        <v>151</v>
      </c>
      <c r="AD28" s="8">
        <v>21</v>
      </c>
      <c r="AF28" t="s">
        <v>261</v>
      </c>
      <c r="AK28" t="s">
        <v>136</v>
      </c>
      <c r="AM28" t="s">
        <v>200</v>
      </c>
      <c r="AN28" t="s">
        <v>201</v>
      </c>
      <c r="AO28" t="s">
        <v>202</v>
      </c>
      <c r="AP28" t="s">
        <v>203</v>
      </c>
      <c r="AQ28" t="s">
        <v>151</v>
      </c>
      <c r="AT28" s="8">
        <v>21</v>
      </c>
      <c r="AV28" t="s">
        <v>261</v>
      </c>
      <c r="BA28" t="s">
        <v>136</v>
      </c>
      <c r="BC28" t="s">
        <v>200</v>
      </c>
      <c r="BD28" t="s">
        <v>201</v>
      </c>
      <c r="BE28" t="s">
        <v>202</v>
      </c>
      <c r="BF28" t="s">
        <v>203</v>
      </c>
      <c r="BG28" t="s">
        <v>151</v>
      </c>
      <c r="BJ28" s="8">
        <v>21</v>
      </c>
    </row>
    <row r="29" spans="1:62" x14ac:dyDescent="0.15">
      <c r="A29" s="12">
        <f t="shared" si="0"/>
        <v>25</v>
      </c>
      <c r="B29" t="s">
        <v>262</v>
      </c>
      <c r="C29" t="s">
        <v>262</v>
      </c>
      <c r="D29" s="12"/>
      <c r="E29" s="12"/>
      <c r="F29" s="12"/>
      <c r="G29" s="12"/>
      <c r="H29" t="s">
        <v>107</v>
      </c>
      <c r="N29" s="8">
        <v>22</v>
      </c>
      <c r="P29" t="s">
        <v>263</v>
      </c>
      <c r="T29" t="s">
        <v>136</v>
      </c>
      <c r="V29" t="s">
        <v>207</v>
      </c>
      <c r="AB29" t="s">
        <v>230</v>
      </c>
      <c r="AC29" t="s">
        <v>264</v>
      </c>
      <c r="AD29" s="8">
        <v>22</v>
      </c>
      <c r="AF29" t="s">
        <v>263</v>
      </c>
      <c r="AJ29" t="s">
        <v>136</v>
      </c>
      <c r="AL29" t="s">
        <v>207</v>
      </c>
      <c r="AR29" t="s">
        <v>230</v>
      </c>
      <c r="AS29" t="s">
        <v>264</v>
      </c>
      <c r="AT29" s="8">
        <v>22</v>
      </c>
      <c r="AV29" t="s">
        <v>263</v>
      </c>
      <c r="AZ29" t="s">
        <v>136</v>
      </c>
      <c r="BB29" t="s">
        <v>207</v>
      </c>
      <c r="BH29" t="s">
        <v>230</v>
      </c>
      <c r="BI29" t="s">
        <v>264</v>
      </c>
      <c r="BJ29" s="8">
        <v>22</v>
      </c>
    </row>
    <row r="30" spans="1:62" x14ac:dyDescent="0.15">
      <c r="A30" s="12">
        <f t="shared" si="0"/>
        <v>26</v>
      </c>
      <c r="B30" t="s">
        <v>265</v>
      </c>
      <c r="C30" t="s">
        <v>265</v>
      </c>
      <c r="D30" s="12"/>
      <c r="E30" s="12"/>
      <c r="F30" s="12"/>
      <c r="G30" s="12"/>
      <c r="H30" t="s">
        <v>107</v>
      </c>
      <c r="N30" s="8">
        <v>23</v>
      </c>
      <c r="P30" t="s">
        <v>266</v>
      </c>
      <c r="R30" t="s">
        <v>127</v>
      </c>
      <c r="T30" t="s">
        <v>128</v>
      </c>
      <c r="Y30" t="s">
        <v>267</v>
      </c>
      <c r="AA30" t="s">
        <v>268</v>
      </c>
      <c r="AD30" s="8">
        <v>23</v>
      </c>
      <c r="AF30" t="s">
        <v>266</v>
      </c>
      <c r="AH30" t="s">
        <v>127</v>
      </c>
      <c r="AJ30" t="s">
        <v>128</v>
      </c>
      <c r="AO30" t="s">
        <v>267</v>
      </c>
      <c r="AQ30" t="s">
        <v>268</v>
      </c>
      <c r="AT30" s="8">
        <v>23</v>
      </c>
      <c r="AV30" t="s">
        <v>266</v>
      </c>
      <c r="AX30" t="s">
        <v>127</v>
      </c>
      <c r="AZ30" t="s">
        <v>128</v>
      </c>
      <c r="BE30" t="s">
        <v>267</v>
      </c>
      <c r="BG30" t="s">
        <v>268</v>
      </c>
      <c r="BJ30" s="8">
        <v>23</v>
      </c>
    </row>
  </sheetData>
  <phoneticPr fontId="7"/>
  <conditionalFormatting sqref="O5:AC30">
    <cfRule type="cellIs" dxfId="5" priority="1" stopIfTrue="1" operator="notEqual">
      <formula>AE5</formula>
    </cfRule>
  </conditionalFormatting>
  <conditionalFormatting sqref="AE5:AS30">
    <cfRule type="cellIs" dxfId="4" priority="2" stopIfTrue="1" operator="notEqual">
      <formula>O5</formula>
    </cfRule>
  </conditionalFormatting>
  <hyperlinks>
    <hyperlink ref="R1" r:id="rId1" display="ファイル名(L): C:\test\回覧・ワークフロー（課長フォルダ）\sample.xlsx / ファイル名(R): C:\test\回覧・ワークフロー（課長フォルダ）\sample.xlsx @ Created by ii-exsh-diff-pro v.1.00. threshold=1.0. target_columns=&quot;&quot;." xr:uid="{00000000-0004-0000-0100-000000000000}"/>
    <hyperlink ref="A3" location="'ii-exsh-diff-pro'!A1" display="#" xr:uid="{00000000-0004-0000-0100-000001000000}"/>
  </hyperlinks>
  <pageMargins left="0.75" right="0.75" top="1" bottom="1" header="0.5" footer="0.5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30"/>
  <sheetViews>
    <sheetView workbookViewId="0">
      <pane xSplit="13" ySplit="4" topLeftCell="N5" activePane="bottomRight" state="frozen"/>
      <selection pane="topRight"/>
      <selection pane="bottomLeft"/>
      <selection pane="bottomRight" activeCell="R1" sqref="R1"/>
    </sheetView>
  </sheetViews>
  <sheetFormatPr defaultRowHeight="13.5" x14ac:dyDescent="0.15"/>
  <cols>
    <col min="1" max="1" width="5" customWidth="1"/>
    <col min="2" max="3" width="13" hidden="1" customWidth="1"/>
    <col min="6" max="6" width="3" customWidth="1"/>
    <col min="7" max="7" width="15" customWidth="1"/>
    <col min="8" max="13" width="13" hidden="1" customWidth="1"/>
    <col min="14" max="14" width="5" customWidth="1"/>
    <col min="15" max="16" width="13" customWidth="1"/>
    <col min="17" max="17" width="3.625" customWidth="1"/>
    <col min="18" max="29" width="13" customWidth="1"/>
    <col min="30" max="30" width="5" customWidth="1"/>
    <col min="31" max="32" width="13" customWidth="1"/>
    <col min="33" max="33" width="3.625" customWidth="1"/>
    <col min="34" max="45" width="13" customWidth="1"/>
    <col min="46" max="46" width="5" customWidth="1"/>
    <col min="47" max="48" width="13" customWidth="1"/>
    <col min="49" max="49" width="3.625" customWidth="1"/>
    <col min="50" max="61" width="13" customWidth="1"/>
    <col min="62" max="62" width="5" customWidth="1"/>
  </cols>
  <sheetData>
    <row r="1" spans="1:62" ht="25.5" x14ac:dyDescent="0.25">
      <c r="A1" s="1" t="s">
        <v>38</v>
      </c>
      <c r="R1" s="7" t="s">
        <v>273</v>
      </c>
      <c r="BJ1" s="8"/>
    </row>
    <row r="2" spans="1:62" ht="2.1" customHeight="1" x14ac:dyDescent="0.1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</row>
    <row r="3" spans="1:62" ht="21" x14ac:dyDescent="0.2">
      <c r="A3" s="9" t="s">
        <v>39</v>
      </c>
      <c r="B3" t="s">
        <v>40</v>
      </c>
      <c r="C3" t="s">
        <v>41</v>
      </c>
      <c r="D3" t="s">
        <v>1</v>
      </c>
      <c r="E3" t="s">
        <v>2</v>
      </c>
      <c r="F3" t="s">
        <v>42</v>
      </c>
      <c r="G3" t="s">
        <v>43</v>
      </c>
      <c r="N3" s="10"/>
      <c r="O3" s="11" t="s">
        <v>20</v>
      </c>
      <c r="AD3" s="8"/>
      <c r="AE3" s="11" t="s">
        <v>21</v>
      </c>
      <c r="AT3" s="8"/>
      <c r="AU3" s="11" t="s">
        <v>44</v>
      </c>
      <c r="BJ3" s="8"/>
    </row>
    <row r="4" spans="1:62" x14ac:dyDescent="0.15">
      <c r="A4" s="10" t="s">
        <v>45</v>
      </c>
      <c r="B4" s="10" t="s">
        <v>46</v>
      </c>
      <c r="C4" s="10" t="s">
        <v>47</v>
      </c>
      <c r="D4" s="10" t="s">
        <v>48</v>
      </c>
      <c r="E4" s="10" t="s">
        <v>49</v>
      </c>
      <c r="F4" s="10" t="s">
        <v>50</v>
      </c>
      <c r="G4" s="10" t="s">
        <v>51</v>
      </c>
      <c r="H4" s="10" t="s">
        <v>52</v>
      </c>
      <c r="I4" s="10" t="s">
        <v>53</v>
      </c>
      <c r="J4" s="10" t="s">
        <v>54</v>
      </c>
      <c r="K4" s="10" t="s">
        <v>55</v>
      </c>
      <c r="L4" s="10" t="s">
        <v>56</v>
      </c>
      <c r="M4" s="10" t="s">
        <v>57</v>
      </c>
      <c r="N4" s="10" t="s">
        <v>58</v>
      </c>
      <c r="O4" s="10" t="s">
        <v>59</v>
      </c>
      <c r="P4" s="10" t="s">
        <v>60</v>
      </c>
      <c r="Q4" s="10" t="s">
        <v>61</v>
      </c>
      <c r="R4" s="10" t="s">
        <v>62</v>
      </c>
      <c r="S4" s="10" t="s">
        <v>63</v>
      </c>
      <c r="T4" s="10" t="s">
        <v>64</v>
      </c>
      <c r="U4" s="10" t="s">
        <v>65</v>
      </c>
      <c r="V4" s="10" t="s">
        <v>66</v>
      </c>
      <c r="W4" s="10" t="s">
        <v>67</v>
      </c>
      <c r="X4" s="10" t="s">
        <v>68</v>
      </c>
      <c r="Y4" s="10" t="s">
        <v>69</v>
      </c>
      <c r="Z4" s="10" t="s">
        <v>70</v>
      </c>
      <c r="AA4" s="10" t="s">
        <v>71</v>
      </c>
      <c r="AB4" s="10" t="s">
        <v>72</v>
      </c>
      <c r="AC4" s="10" t="s">
        <v>73</v>
      </c>
      <c r="AD4" s="10" t="s">
        <v>74</v>
      </c>
      <c r="AE4" s="10" t="s">
        <v>75</v>
      </c>
      <c r="AF4" s="10" t="s">
        <v>76</v>
      </c>
      <c r="AG4" s="10" t="s">
        <v>77</v>
      </c>
      <c r="AH4" s="10" t="s">
        <v>78</v>
      </c>
      <c r="AI4" s="10" t="s">
        <v>79</v>
      </c>
      <c r="AJ4" s="10" t="s">
        <v>80</v>
      </c>
      <c r="AK4" s="10" t="s">
        <v>81</v>
      </c>
      <c r="AL4" s="10" t="s">
        <v>82</v>
      </c>
      <c r="AM4" s="10" t="s">
        <v>83</v>
      </c>
      <c r="AN4" s="10" t="s">
        <v>84</v>
      </c>
      <c r="AO4" s="10" t="s">
        <v>85</v>
      </c>
      <c r="AP4" s="10" t="s">
        <v>86</v>
      </c>
      <c r="AQ4" s="10" t="s">
        <v>87</v>
      </c>
      <c r="AR4" s="10" t="s">
        <v>88</v>
      </c>
      <c r="AS4" s="10" t="s">
        <v>89</v>
      </c>
      <c r="AT4" s="10" t="s">
        <v>90</v>
      </c>
      <c r="AU4" s="10" t="s">
        <v>91</v>
      </c>
      <c r="AV4" s="10" t="s">
        <v>92</v>
      </c>
      <c r="AW4" s="10" t="s">
        <v>93</v>
      </c>
      <c r="AX4" s="10" t="s">
        <v>94</v>
      </c>
      <c r="AY4" s="10" t="s">
        <v>95</v>
      </c>
      <c r="AZ4" s="10" t="s">
        <v>96</v>
      </c>
      <c r="BA4" s="10" t="s">
        <v>97</v>
      </c>
      <c r="BB4" s="10" t="s">
        <v>98</v>
      </c>
      <c r="BC4" s="10" t="s">
        <v>99</v>
      </c>
      <c r="BD4" s="10" t="s">
        <v>100</v>
      </c>
      <c r="BE4" s="10" t="s">
        <v>101</v>
      </c>
      <c r="BF4" s="10" t="s">
        <v>102</v>
      </c>
      <c r="BG4" s="10" t="s">
        <v>103</v>
      </c>
      <c r="BH4" s="10" t="s">
        <v>104</v>
      </c>
      <c r="BI4" s="10" t="s">
        <v>105</v>
      </c>
      <c r="BJ4" s="8"/>
    </row>
    <row r="5" spans="1:62" x14ac:dyDescent="0.15">
      <c r="A5" s="12">
        <f t="shared" ref="A5:A30" si="0">ROW() - 4</f>
        <v>1</v>
      </c>
      <c r="B5" t="s">
        <v>106</v>
      </c>
      <c r="C5" t="s">
        <v>106</v>
      </c>
      <c r="D5" s="12"/>
      <c r="E5" s="12"/>
      <c r="F5" s="12"/>
      <c r="G5" s="12"/>
      <c r="H5" t="s">
        <v>107</v>
      </c>
      <c r="N5" s="8">
        <v>1</v>
      </c>
      <c r="O5" t="s">
        <v>108</v>
      </c>
      <c r="P5" t="s">
        <v>109</v>
      </c>
      <c r="Q5" t="s">
        <v>110</v>
      </c>
      <c r="R5" t="s">
        <v>111</v>
      </c>
      <c r="S5" t="s">
        <v>112</v>
      </c>
      <c r="T5" t="s">
        <v>113</v>
      </c>
      <c r="U5" t="s">
        <v>114</v>
      </c>
      <c r="V5" t="s">
        <v>115</v>
      </c>
      <c r="W5" t="s">
        <v>116</v>
      </c>
      <c r="X5" t="s">
        <v>117</v>
      </c>
      <c r="Y5" t="s">
        <v>118</v>
      </c>
      <c r="Z5" t="s">
        <v>119</v>
      </c>
      <c r="AA5" t="s">
        <v>120</v>
      </c>
      <c r="AB5" t="s">
        <v>121</v>
      </c>
      <c r="AC5" t="s">
        <v>122</v>
      </c>
      <c r="AD5" s="8">
        <v>1</v>
      </c>
      <c r="AE5" t="s">
        <v>108</v>
      </c>
      <c r="AF5" t="s">
        <v>109</v>
      </c>
      <c r="AG5" t="s">
        <v>110</v>
      </c>
      <c r="AH5" t="s">
        <v>111</v>
      </c>
      <c r="AI5" t="s">
        <v>112</v>
      </c>
      <c r="AJ5" t="s">
        <v>113</v>
      </c>
      <c r="AK5" t="s">
        <v>114</v>
      </c>
      <c r="AL5" t="s">
        <v>115</v>
      </c>
      <c r="AM5" t="s">
        <v>116</v>
      </c>
      <c r="AN5" t="s">
        <v>117</v>
      </c>
      <c r="AO5" t="s">
        <v>118</v>
      </c>
      <c r="AP5" t="s">
        <v>119</v>
      </c>
      <c r="AQ5" t="s">
        <v>120</v>
      </c>
      <c r="AR5" t="s">
        <v>121</v>
      </c>
      <c r="AS5" t="s">
        <v>122</v>
      </c>
      <c r="AT5" s="8">
        <v>1</v>
      </c>
      <c r="AU5" t="s">
        <v>108</v>
      </c>
      <c r="AV5" t="s">
        <v>109</v>
      </c>
      <c r="AW5" t="s">
        <v>110</v>
      </c>
      <c r="AX5" t="s">
        <v>111</v>
      </c>
      <c r="AY5" t="s">
        <v>112</v>
      </c>
      <c r="AZ5" t="s">
        <v>113</v>
      </c>
      <c r="BA5" t="s">
        <v>114</v>
      </c>
      <c r="BB5" t="s">
        <v>115</v>
      </c>
      <c r="BC5" t="s">
        <v>116</v>
      </c>
      <c r="BD5" t="s">
        <v>117</v>
      </c>
      <c r="BE5" t="s">
        <v>118</v>
      </c>
      <c r="BF5" t="s">
        <v>119</v>
      </c>
      <c r="BG5" t="s">
        <v>120</v>
      </c>
      <c r="BH5" t="s">
        <v>121</v>
      </c>
      <c r="BI5" t="s">
        <v>122</v>
      </c>
      <c r="BJ5" s="8">
        <v>1</v>
      </c>
    </row>
    <row r="6" spans="1:62" x14ac:dyDescent="0.15">
      <c r="A6" s="12">
        <f t="shared" si="0"/>
        <v>2</v>
      </c>
      <c r="B6" t="s">
        <v>123</v>
      </c>
      <c r="C6" t="s">
        <v>123</v>
      </c>
      <c r="D6" s="12"/>
      <c r="E6" s="12"/>
      <c r="F6" s="12"/>
      <c r="G6" s="12"/>
      <c r="H6" t="s">
        <v>107</v>
      </c>
      <c r="N6" s="8">
        <v>2</v>
      </c>
      <c r="O6" t="s">
        <v>124</v>
      </c>
      <c r="AD6" s="8">
        <v>2</v>
      </c>
      <c r="AE6" t="s">
        <v>124</v>
      </c>
      <c r="AT6" s="8">
        <v>2</v>
      </c>
      <c r="AU6" t="s">
        <v>124</v>
      </c>
      <c r="BJ6" s="8">
        <v>2</v>
      </c>
    </row>
    <row r="7" spans="1:62" x14ac:dyDescent="0.15">
      <c r="A7" s="12">
        <f t="shared" si="0"/>
        <v>3</v>
      </c>
      <c r="B7" t="s">
        <v>125</v>
      </c>
      <c r="C7" t="s">
        <v>125</v>
      </c>
      <c r="D7" s="12"/>
      <c r="E7" s="12"/>
      <c r="F7" s="12"/>
      <c r="G7" s="12"/>
      <c r="H7" t="s">
        <v>107</v>
      </c>
      <c r="N7" s="8">
        <v>3</v>
      </c>
      <c r="P7" t="s">
        <v>126</v>
      </c>
      <c r="R7" t="s">
        <v>127</v>
      </c>
      <c r="T7" t="s">
        <v>128</v>
      </c>
      <c r="Y7" t="s">
        <v>129</v>
      </c>
      <c r="AA7" t="s">
        <v>130</v>
      </c>
      <c r="AD7" s="8">
        <v>3</v>
      </c>
      <c r="AF7" t="s">
        <v>126</v>
      </c>
      <c r="AH7" t="s">
        <v>127</v>
      </c>
      <c r="AJ7" t="s">
        <v>128</v>
      </c>
      <c r="AO7" t="s">
        <v>129</v>
      </c>
      <c r="AQ7" t="s">
        <v>130</v>
      </c>
      <c r="AT7" s="8">
        <v>3</v>
      </c>
      <c r="AV7" t="s">
        <v>126</v>
      </c>
      <c r="AX7" t="s">
        <v>127</v>
      </c>
      <c r="AZ7" t="s">
        <v>128</v>
      </c>
      <c r="BE7" t="s">
        <v>129</v>
      </c>
      <c r="BG7" t="s">
        <v>130</v>
      </c>
      <c r="BJ7" s="8">
        <v>3</v>
      </c>
    </row>
    <row r="8" spans="1:62" x14ac:dyDescent="0.15">
      <c r="A8" s="12">
        <f t="shared" si="0"/>
        <v>4</v>
      </c>
      <c r="B8" t="s">
        <v>131</v>
      </c>
      <c r="C8" t="s">
        <v>131</v>
      </c>
      <c r="D8" s="12"/>
      <c r="E8" s="12"/>
      <c r="F8" s="12"/>
      <c r="G8" s="12"/>
      <c r="H8" t="s">
        <v>107</v>
      </c>
      <c r="N8" s="8">
        <v>4</v>
      </c>
      <c r="P8" t="s">
        <v>132</v>
      </c>
      <c r="R8" t="s">
        <v>133</v>
      </c>
      <c r="U8" t="s">
        <v>134</v>
      </c>
      <c r="V8" t="s">
        <v>135</v>
      </c>
      <c r="W8" t="s">
        <v>136</v>
      </c>
      <c r="X8" t="s">
        <v>137</v>
      </c>
      <c r="Z8" t="s">
        <v>138</v>
      </c>
      <c r="AD8" s="8">
        <v>4</v>
      </c>
      <c r="AF8" t="s">
        <v>132</v>
      </c>
      <c r="AH8" t="s">
        <v>133</v>
      </c>
      <c r="AK8" t="s">
        <v>134</v>
      </c>
      <c r="AL8" t="s">
        <v>135</v>
      </c>
      <c r="AM8" t="s">
        <v>136</v>
      </c>
      <c r="AN8" t="s">
        <v>137</v>
      </c>
      <c r="AP8" t="s">
        <v>138</v>
      </c>
      <c r="AT8" s="8">
        <v>4</v>
      </c>
      <c r="AV8" t="s">
        <v>132</v>
      </c>
      <c r="AX8" t="s">
        <v>133</v>
      </c>
      <c r="BA8" t="s">
        <v>134</v>
      </c>
      <c r="BB8" t="s">
        <v>135</v>
      </c>
      <c r="BC8" t="s">
        <v>136</v>
      </c>
      <c r="BD8" t="s">
        <v>137</v>
      </c>
      <c r="BF8" t="s">
        <v>138</v>
      </c>
      <c r="BJ8" s="8">
        <v>4</v>
      </c>
    </row>
    <row r="9" spans="1:62" x14ac:dyDescent="0.15">
      <c r="A9" s="12">
        <f t="shared" si="0"/>
        <v>5</v>
      </c>
      <c r="C9" t="s">
        <v>139</v>
      </c>
      <c r="D9" s="12"/>
      <c r="E9" s="12"/>
      <c r="F9" s="12" t="s">
        <v>140</v>
      </c>
      <c r="G9" s="12"/>
      <c r="N9" s="8"/>
      <c r="AD9" s="8">
        <v>5</v>
      </c>
      <c r="AF9" t="s">
        <v>141</v>
      </c>
      <c r="AK9" t="s">
        <v>142</v>
      </c>
      <c r="AM9" t="s">
        <v>143</v>
      </c>
      <c r="AQ9" t="s">
        <v>144</v>
      </c>
      <c r="AT9" s="8"/>
      <c r="AU9" s="13"/>
      <c r="AV9" s="14" t="s">
        <v>145</v>
      </c>
      <c r="AW9" s="13"/>
      <c r="AX9" s="13"/>
      <c r="AY9" s="13"/>
      <c r="AZ9" s="13"/>
      <c r="BA9" s="14" t="s">
        <v>146</v>
      </c>
      <c r="BB9" s="13"/>
      <c r="BC9" s="14" t="s">
        <v>147</v>
      </c>
      <c r="BD9" s="13"/>
      <c r="BE9" s="13"/>
      <c r="BF9" s="13"/>
      <c r="BG9" s="14" t="s">
        <v>148</v>
      </c>
      <c r="BH9" s="13"/>
      <c r="BI9" s="13"/>
      <c r="BJ9" s="8">
        <v>5</v>
      </c>
    </row>
    <row r="10" spans="1:62" x14ac:dyDescent="0.15">
      <c r="A10" s="12">
        <f t="shared" si="0"/>
        <v>6</v>
      </c>
      <c r="B10" t="s">
        <v>149</v>
      </c>
      <c r="C10" t="s">
        <v>149</v>
      </c>
      <c r="D10" s="12"/>
      <c r="E10" s="12"/>
      <c r="F10" s="12"/>
      <c r="G10" s="12"/>
      <c r="H10" t="s">
        <v>107</v>
      </c>
      <c r="N10" s="8">
        <v>5</v>
      </c>
      <c r="P10" t="s">
        <v>150</v>
      </c>
      <c r="R10" t="s">
        <v>151</v>
      </c>
      <c r="T10" t="s">
        <v>152</v>
      </c>
      <c r="V10" t="s">
        <v>153</v>
      </c>
      <c r="AA10" t="s">
        <v>154</v>
      </c>
      <c r="AC10" t="s">
        <v>155</v>
      </c>
      <c r="AD10" s="8">
        <v>6</v>
      </c>
      <c r="AF10" t="s">
        <v>150</v>
      </c>
      <c r="AH10" t="s">
        <v>151</v>
      </c>
      <c r="AJ10" t="s">
        <v>152</v>
      </c>
      <c r="AL10" t="s">
        <v>153</v>
      </c>
      <c r="AQ10" t="s">
        <v>154</v>
      </c>
      <c r="AS10" t="s">
        <v>155</v>
      </c>
      <c r="AT10" s="8">
        <v>5</v>
      </c>
      <c r="AV10" t="s">
        <v>150</v>
      </c>
      <c r="AX10" t="s">
        <v>151</v>
      </c>
      <c r="AZ10" t="s">
        <v>152</v>
      </c>
      <c r="BB10" t="s">
        <v>153</v>
      </c>
      <c r="BG10" t="s">
        <v>154</v>
      </c>
      <c r="BI10" t="s">
        <v>155</v>
      </c>
      <c r="BJ10" s="8">
        <v>6</v>
      </c>
    </row>
    <row r="11" spans="1:62" x14ac:dyDescent="0.15">
      <c r="A11" s="12">
        <f t="shared" si="0"/>
        <v>7</v>
      </c>
      <c r="B11" t="s">
        <v>156</v>
      </c>
      <c r="C11" t="s">
        <v>156</v>
      </c>
      <c r="D11" s="12"/>
      <c r="E11" s="12"/>
      <c r="F11" s="12"/>
      <c r="G11" s="12"/>
      <c r="H11" t="s">
        <v>107</v>
      </c>
      <c r="N11" s="8">
        <v>6</v>
      </c>
      <c r="P11" t="s">
        <v>157</v>
      </c>
      <c r="U11" t="s">
        <v>158</v>
      </c>
      <c r="Y11" t="s">
        <v>159</v>
      </c>
      <c r="AA11" t="s">
        <v>160</v>
      </c>
      <c r="AD11" s="8">
        <v>7</v>
      </c>
      <c r="AF11" t="s">
        <v>157</v>
      </c>
      <c r="AK11" t="s">
        <v>158</v>
      </c>
      <c r="AO11" t="s">
        <v>159</v>
      </c>
      <c r="AQ11" t="s">
        <v>160</v>
      </c>
      <c r="AT11" s="8">
        <v>6</v>
      </c>
      <c r="AV11" t="s">
        <v>157</v>
      </c>
      <c r="BA11" t="s">
        <v>158</v>
      </c>
      <c r="BE11" t="s">
        <v>159</v>
      </c>
      <c r="BG11" t="s">
        <v>160</v>
      </c>
      <c r="BJ11" s="8">
        <v>7</v>
      </c>
    </row>
    <row r="12" spans="1:62" x14ac:dyDescent="0.15">
      <c r="A12" s="12">
        <f t="shared" si="0"/>
        <v>8</v>
      </c>
      <c r="B12" t="s">
        <v>161</v>
      </c>
      <c r="C12" t="s">
        <v>161</v>
      </c>
      <c r="D12" s="12"/>
      <c r="E12" s="12"/>
      <c r="F12" s="12"/>
      <c r="G12" s="12"/>
      <c r="H12" t="s">
        <v>107</v>
      </c>
      <c r="N12" s="8">
        <v>7</v>
      </c>
      <c r="O12" t="s">
        <v>162</v>
      </c>
      <c r="S12" t="s">
        <v>163</v>
      </c>
      <c r="W12" t="s">
        <v>164</v>
      </c>
      <c r="AB12" t="s">
        <v>165</v>
      </c>
      <c r="AC12" t="s">
        <v>136</v>
      </c>
      <c r="AD12" s="8">
        <v>8</v>
      </c>
      <c r="AE12" t="s">
        <v>162</v>
      </c>
      <c r="AI12" t="s">
        <v>163</v>
      </c>
      <c r="AM12" t="s">
        <v>164</v>
      </c>
      <c r="AR12" t="s">
        <v>165</v>
      </c>
      <c r="AS12" t="s">
        <v>136</v>
      </c>
      <c r="AT12" s="8">
        <v>7</v>
      </c>
      <c r="AU12" t="s">
        <v>162</v>
      </c>
      <c r="AY12" t="s">
        <v>163</v>
      </c>
      <c r="BC12" t="s">
        <v>164</v>
      </c>
      <c r="BH12" t="s">
        <v>165</v>
      </c>
      <c r="BI12" t="s">
        <v>136</v>
      </c>
      <c r="BJ12" s="8">
        <v>8</v>
      </c>
    </row>
    <row r="13" spans="1:62" x14ac:dyDescent="0.15">
      <c r="A13" s="12">
        <f t="shared" si="0"/>
        <v>9</v>
      </c>
      <c r="B13" t="s">
        <v>166</v>
      </c>
      <c r="C13" t="s">
        <v>166</v>
      </c>
      <c r="D13" s="12"/>
      <c r="E13" s="12"/>
      <c r="F13" s="12"/>
      <c r="G13" s="12"/>
      <c r="H13" t="s">
        <v>107</v>
      </c>
      <c r="N13" s="8">
        <v>8</v>
      </c>
      <c r="P13" t="s">
        <v>167</v>
      </c>
      <c r="R13" t="s">
        <v>168</v>
      </c>
      <c r="T13" t="s">
        <v>169</v>
      </c>
      <c r="V13" t="s">
        <v>170</v>
      </c>
      <c r="X13" t="s">
        <v>171</v>
      </c>
      <c r="AA13" t="s">
        <v>172</v>
      </c>
      <c r="AD13" s="8">
        <v>9</v>
      </c>
      <c r="AF13" t="s">
        <v>167</v>
      </c>
      <c r="AH13" t="s">
        <v>168</v>
      </c>
      <c r="AJ13" t="s">
        <v>169</v>
      </c>
      <c r="AL13" t="s">
        <v>170</v>
      </c>
      <c r="AN13" t="s">
        <v>171</v>
      </c>
      <c r="AQ13" t="s">
        <v>172</v>
      </c>
      <c r="AT13" s="8">
        <v>8</v>
      </c>
      <c r="AV13" t="s">
        <v>167</v>
      </c>
      <c r="AX13" t="s">
        <v>168</v>
      </c>
      <c r="AZ13" t="s">
        <v>169</v>
      </c>
      <c r="BB13" t="s">
        <v>170</v>
      </c>
      <c r="BD13" t="s">
        <v>171</v>
      </c>
      <c r="BG13" t="s">
        <v>172</v>
      </c>
      <c r="BJ13" s="8">
        <v>9</v>
      </c>
    </row>
    <row r="14" spans="1:62" x14ac:dyDescent="0.15">
      <c r="A14" s="12">
        <f t="shared" si="0"/>
        <v>10</v>
      </c>
      <c r="C14" t="s">
        <v>173</v>
      </c>
      <c r="D14" s="12"/>
      <c r="E14" s="12"/>
      <c r="F14" s="12" t="s">
        <v>140</v>
      </c>
      <c r="G14" s="12"/>
      <c r="N14" s="8"/>
      <c r="AD14" s="8">
        <v>10</v>
      </c>
      <c r="AF14" t="s">
        <v>174</v>
      </c>
      <c r="AH14" t="s">
        <v>175</v>
      </c>
      <c r="AI14" t="s">
        <v>176</v>
      </c>
      <c r="AM14" t="s">
        <v>177</v>
      </c>
      <c r="AO14" t="s">
        <v>171</v>
      </c>
      <c r="AT14" s="8"/>
      <c r="AU14" s="13"/>
      <c r="AV14" s="14" t="s">
        <v>178</v>
      </c>
      <c r="AW14" s="13"/>
      <c r="AX14" s="14" t="s">
        <v>179</v>
      </c>
      <c r="AY14" s="14" t="s">
        <v>180</v>
      </c>
      <c r="AZ14" s="13"/>
      <c r="BA14" s="13"/>
      <c r="BB14" s="13"/>
      <c r="BC14" s="14" t="s">
        <v>181</v>
      </c>
      <c r="BD14" s="13"/>
      <c r="BE14" s="14" t="s">
        <v>182</v>
      </c>
      <c r="BF14" s="13"/>
      <c r="BG14" s="13"/>
      <c r="BH14" s="13"/>
      <c r="BI14" s="13"/>
      <c r="BJ14" s="8">
        <v>10</v>
      </c>
    </row>
    <row r="15" spans="1:62" x14ac:dyDescent="0.15">
      <c r="A15" s="12">
        <f t="shared" si="0"/>
        <v>11</v>
      </c>
      <c r="B15" t="s">
        <v>139</v>
      </c>
      <c r="D15" s="12"/>
      <c r="E15" s="12"/>
      <c r="F15" s="12" t="s">
        <v>140</v>
      </c>
      <c r="G15" s="12"/>
      <c r="N15" s="8">
        <v>9</v>
      </c>
      <c r="P15" t="s">
        <v>141</v>
      </c>
      <c r="U15" t="s">
        <v>142</v>
      </c>
      <c r="W15" t="s">
        <v>143</v>
      </c>
      <c r="AA15" t="s">
        <v>144</v>
      </c>
      <c r="AD15" s="8"/>
      <c r="AT15" s="8">
        <v>9</v>
      </c>
      <c r="AU15" s="13"/>
      <c r="AV15" s="14" t="s">
        <v>183</v>
      </c>
      <c r="AW15" s="13"/>
      <c r="AX15" s="13"/>
      <c r="AY15" s="13"/>
      <c r="AZ15" s="13"/>
      <c r="BA15" s="14" t="s">
        <v>184</v>
      </c>
      <c r="BB15" s="13"/>
      <c r="BC15" s="14" t="s">
        <v>185</v>
      </c>
      <c r="BD15" s="13"/>
      <c r="BE15" s="13"/>
      <c r="BF15" s="13"/>
      <c r="BG15" s="14" t="s">
        <v>186</v>
      </c>
      <c r="BH15" s="13"/>
      <c r="BI15" s="13"/>
      <c r="BJ15" s="8"/>
    </row>
    <row r="16" spans="1:62" x14ac:dyDescent="0.15">
      <c r="A16" s="12">
        <f t="shared" si="0"/>
        <v>12</v>
      </c>
      <c r="B16" t="s">
        <v>187</v>
      </c>
      <c r="D16" s="12"/>
      <c r="E16" s="12"/>
      <c r="F16" s="12" t="s">
        <v>140</v>
      </c>
      <c r="G16" s="12"/>
      <c r="N16" s="8">
        <v>10</v>
      </c>
      <c r="P16" t="s">
        <v>188</v>
      </c>
      <c r="R16" t="s">
        <v>175</v>
      </c>
      <c r="S16" t="s">
        <v>176</v>
      </c>
      <c r="W16" t="s">
        <v>177</v>
      </c>
      <c r="Y16" t="s">
        <v>171</v>
      </c>
      <c r="AD16" s="8"/>
      <c r="AT16" s="8">
        <v>10</v>
      </c>
      <c r="AU16" s="13"/>
      <c r="AV16" s="14" t="s">
        <v>189</v>
      </c>
      <c r="AW16" s="13"/>
      <c r="AX16" s="14" t="s">
        <v>190</v>
      </c>
      <c r="AY16" s="14" t="s">
        <v>191</v>
      </c>
      <c r="AZ16" s="13"/>
      <c r="BA16" s="13"/>
      <c r="BB16" s="13"/>
      <c r="BC16" s="14" t="s">
        <v>192</v>
      </c>
      <c r="BD16" s="13"/>
      <c r="BE16" s="14" t="s">
        <v>193</v>
      </c>
      <c r="BF16" s="13"/>
      <c r="BG16" s="13"/>
      <c r="BH16" s="13"/>
      <c r="BI16" s="13"/>
      <c r="BJ16" s="8"/>
    </row>
    <row r="17" spans="1:62" x14ac:dyDescent="0.15">
      <c r="A17" s="12">
        <f t="shared" si="0"/>
        <v>13</v>
      </c>
      <c r="B17" t="s">
        <v>194</v>
      </c>
      <c r="C17" t="s">
        <v>194</v>
      </c>
      <c r="D17" s="12"/>
      <c r="E17" s="12"/>
      <c r="F17" s="12"/>
      <c r="G17" s="12"/>
      <c r="H17" t="s">
        <v>107</v>
      </c>
      <c r="N17" s="8">
        <v>11</v>
      </c>
      <c r="P17" t="s">
        <v>195</v>
      </c>
      <c r="S17" t="s">
        <v>136</v>
      </c>
      <c r="U17" t="s">
        <v>196</v>
      </c>
      <c r="AD17" s="8">
        <v>11</v>
      </c>
      <c r="AF17" t="s">
        <v>195</v>
      </c>
      <c r="AI17" t="s">
        <v>136</v>
      </c>
      <c r="AK17" t="s">
        <v>196</v>
      </c>
      <c r="AT17" s="8">
        <v>11</v>
      </c>
      <c r="AV17" t="s">
        <v>195</v>
      </c>
      <c r="AY17" t="s">
        <v>136</v>
      </c>
      <c r="BA17" t="s">
        <v>196</v>
      </c>
      <c r="BJ17" s="8">
        <v>11</v>
      </c>
    </row>
    <row r="18" spans="1:62" x14ac:dyDescent="0.15">
      <c r="A18" s="12">
        <f t="shared" si="0"/>
        <v>14</v>
      </c>
      <c r="B18" t="s">
        <v>197</v>
      </c>
      <c r="C18" t="s">
        <v>197</v>
      </c>
      <c r="D18" s="12"/>
      <c r="E18" s="12"/>
      <c r="F18" s="12"/>
      <c r="G18" s="12"/>
      <c r="H18" t="s">
        <v>107</v>
      </c>
      <c r="N18" s="8">
        <v>12</v>
      </c>
      <c r="O18" t="s">
        <v>198</v>
      </c>
      <c r="T18" t="s">
        <v>199</v>
      </c>
      <c r="W18" t="s">
        <v>136</v>
      </c>
      <c r="Y18" t="s">
        <v>200</v>
      </c>
      <c r="Z18" t="s">
        <v>201</v>
      </c>
      <c r="AA18" t="s">
        <v>202</v>
      </c>
      <c r="AB18" t="s">
        <v>203</v>
      </c>
      <c r="AD18" s="8">
        <v>12</v>
      </c>
      <c r="AE18" t="s">
        <v>198</v>
      </c>
      <c r="AJ18" t="s">
        <v>199</v>
      </c>
      <c r="AM18" t="s">
        <v>136</v>
      </c>
      <c r="AO18" t="s">
        <v>200</v>
      </c>
      <c r="AP18" t="s">
        <v>201</v>
      </c>
      <c r="AQ18" t="s">
        <v>202</v>
      </c>
      <c r="AR18" t="s">
        <v>203</v>
      </c>
      <c r="AT18" s="8">
        <v>12</v>
      </c>
      <c r="AU18" t="s">
        <v>198</v>
      </c>
      <c r="AZ18" t="s">
        <v>199</v>
      </c>
      <c r="BC18" t="s">
        <v>136</v>
      </c>
      <c r="BE18" t="s">
        <v>200</v>
      </c>
      <c r="BF18" t="s">
        <v>201</v>
      </c>
      <c r="BG18" t="s">
        <v>202</v>
      </c>
      <c r="BH18" t="s">
        <v>203</v>
      </c>
      <c r="BJ18" s="8">
        <v>12</v>
      </c>
    </row>
    <row r="19" spans="1:62" x14ac:dyDescent="0.15">
      <c r="A19" s="12">
        <f t="shared" si="0"/>
        <v>15</v>
      </c>
      <c r="B19" t="s">
        <v>204</v>
      </c>
      <c r="C19" t="s">
        <v>204</v>
      </c>
      <c r="D19" s="12"/>
      <c r="E19" s="12"/>
      <c r="F19" s="12"/>
      <c r="G19" s="12"/>
      <c r="H19" t="s">
        <v>107</v>
      </c>
      <c r="N19" s="8">
        <v>13</v>
      </c>
      <c r="P19" t="s">
        <v>205</v>
      </c>
      <c r="T19" t="s">
        <v>206</v>
      </c>
      <c r="V19" t="s">
        <v>136</v>
      </c>
      <c r="X19" t="s">
        <v>207</v>
      </c>
      <c r="AD19" s="8">
        <v>13</v>
      </c>
      <c r="AF19" t="s">
        <v>205</v>
      </c>
      <c r="AJ19" t="s">
        <v>206</v>
      </c>
      <c r="AL19" t="s">
        <v>136</v>
      </c>
      <c r="AN19" t="s">
        <v>207</v>
      </c>
      <c r="AT19" s="8">
        <v>13</v>
      </c>
      <c r="AV19" t="s">
        <v>205</v>
      </c>
      <c r="AZ19" t="s">
        <v>206</v>
      </c>
      <c r="BB19" t="s">
        <v>136</v>
      </c>
      <c r="BD19" t="s">
        <v>207</v>
      </c>
      <c r="BJ19" s="8">
        <v>13</v>
      </c>
    </row>
    <row r="20" spans="1:62" x14ac:dyDescent="0.15">
      <c r="A20" s="12">
        <f t="shared" si="0"/>
        <v>16</v>
      </c>
      <c r="B20" t="s">
        <v>208</v>
      </c>
      <c r="C20" t="s">
        <v>208</v>
      </c>
      <c r="D20" s="12"/>
      <c r="E20" s="12"/>
      <c r="F20" s="12"/>
      <c r="G20" s="12"/>
      <c r="H20" t="s">
        <v>107</v>
      </c>
      <c r="N20" s="8">
        <v>14</v>
      </c>
      <c r="P20" t="s">
        <v>209</v>
      </c>
      <c r="S20" t="s">
        <v>210</v>
      </c>
      <c r="U20" t="s">
        <v>211</v>
      </c>
      <c r="V20" t="s">
        <v>212</v>
      </c>
      <c r="AD20" s="8">
        <v>14</v>
      </c>
      <c r="AF20" t="s">
        <v>209</v>
      </c>
      <c r="AI20" t="s">
        <v>210</v>
      </c>
      <c r="AK20" t="s">
        <v>211</v>
      </c>
      <c r="AL20" t="s">
        <v>212</v>
      </c>
      <c r="AT20" s="8">
        <v>14</v>
      </c>
      <c r="AV20" t="s">
        <v>209</v>
      </c>
      <c r="AY20" t="s">
        <v>210</v>
      </c>
      <c r="BA20" t="s">
        <v>211</v>
      </c>
      <c r="BB20" t="s">
        <v>212</v>
      </c>
      <c r="BJ20" s="8">
        <v>14</v>
      </c>
    </row>
    <row r="21" spans="1:62" x14ac:dyDescent="0.15">
      <c r="A21" s="12">
        <f t="shared" si="0"/>
        <v>17</v>
      </c>
      <c r="C21" t="s">
        <v>213</v>
      </c>
      <c r="D21" s="12"/>
      <c r="E21" s="12"/>
      <c r="F21" s="12" t="s">
        <v>140</v>
      </c>
      <c r="G21" s="12"/>
      <c r="N21" s="8"/>
      <c r="AD21" s="8">
        <v>15</v>
      </c>
      <c r="AF21" t="s">
        <v>214</v>
      </c>
      <c r="AI21" t="s">
        <v>215</v>
      </c>
      <c r="AJ21" t="s">
        <v>216</v>
      </c>
      <c r="AL21" t="s">
        <v>217</v>
      </c>
      <c r="AP21" t="s">
        <v>218</v>
      </c>
      <c r="AQ21" t="s">
        <v>219</v>
      </c>
      <c r="AR21" t="s">
        <v>220</v>
      </c>
      <c r="AT21" s="8"/>
      <c r="AU21" s="13"/>
      <c r="AV21" s="14" t="s">
        <v>221</v>
      </c>
      <c r="AW21" s="13"/>
      <c r="AX21" s="13"/>
      <c r="AY21" s="14" t="s">
        <v>222</v>
      </c>
      <c r="AZ21" s="14" t="s">
        <v>223</v>
      </c>
      <c r="BA21" s="13"/>
      <c r="BB21" s="14" t="s">
        <v>224</v>
      </c>
      <c r="BC21" s="13"/>
      <c r="BD21" s="13"/>
      <c r="BE21" s="13"/>
      <c r="BF21" s="14" t="s">
        <v>225</v>
      </c>
      <c r="BG21" s="14" t="s">
        <v>226</v>
      </c>
      <c r="BH21" s="14" t="s">
        <v>227</v>
      </c>
      <c r="BI21" s="13"/>
      <c r="BJ21" s="8">
        <v>15</v>
      </c>
    </row>
    <row r="22" spans="1:62" x14ac:dyDescent="0.15">
      <c r="A22" s="12">
        <f t="shared" si="0"/>
        <v>18</v>
      </c>
      <c r="B22" t="s">
        <v>228</v>
      </c>
      <c r="C22" t="s">
        <v>228</v>
      </c>
      <c r="D22" s="12"/>
      <c r="E22" s="12"/>
      <c r="F22" s="12"/>
      <c r="G22" s="12"/>
      <c r="H22" t="s">
        <v>107</v>
      </c>
      <c r="N22" s="8">
        <v>15</v>
      </c>
      <c r="P22" t="s">
        <v>229</v>
      </c>
      <c r="T22" t="s">
        <v>230</v>
      </c>
      <c r="U22" t="s">
        <v>196</v>
      </c>
      <c r="Y22" t="s">
        <v>231</v>
      </c>
      <c r="AC22" t="s">
        <v>135</v>
      </c>
      <c r="AD22" s="8">
        <v>16</v>
      </c>
      <c r="AF22" t="s">
        <v>229</v>
      </c>
      <c r="AJ22" t="s">
        <v>230</v>
      </c>
      <c r="AK22" t="s">
        <v>196</v>
      </c>
      <c r="AO22" t="s">
        <v>231</v>
      </c>
      <c r="AS22" t="s">
        <v>135</v>
      </c>
      <c r="AT22" s="8">
        <v>15</v>
      </c>
      <c r="AV22" t="s">
        <v>229</v>
      </c>
      <c r="AZ22" t="s">
        <v>230</v>
      </c>
      <c r="BA22" t="s">
        <v>196</v>
      </c>
      <c r="BE22" t="s">
        <v>231</v>
      </c>
      <c r="BI22" t="s">
        <v>135</v>
      </c>
      <c r="BJ22" s="8">
        <v>16</v>
      </c>
    </row>
    <row r="23" spans="1:62" x14ac:dyDescent="0.15">
      <c r="A23" s="12">
        <f t="shared" si="0"/>
        <v>19</v>
      </c>
      <c r="B23" t="s">
        <v>232</v>
      </c>
      <c r="C23" t="s">
        <v>232</v>
      </c>
      <c r="D23" s="12"/>
      <c r="E23" s="12"/>
      <c r="F23" s="12"/>
      <c r="G23" s="12"/>
      <c r="H23" t="s">
        <v>107</v>
      </c>
      <c r="N23" s="8">
        <v>16</v>
      </c>
      <c r="P23" t="s">
        <v>233</v>
      </c>
      <c r="S23" t="s">
        <v>234</v>
      </c>
      <c r="U23" t="s">
        <v>235</v>
      </c>
      <c r="V23" t="s">
        <v>236</v>
      </c>
      <c r="AB23" t="s">
        <v>237</v>
      </c>
      <c r="AD23" s="8">
        <v>17</v>
      </c>
      <c r="AF23" t="s">
        <v>233</v>
      </c>
      <c r="AI23" t="s">
        <v>234</v>
      </c>
      <c r="AK23" t="s">
        <v>235</v>
      </c>
      <c r="AL23" t="s">
        <v>236</v>
      </c>
      <c r="AR23" t="s">
        <v>237</v>
      </c>
      <c r="AT23" s="8">
        <v>16</v>
      </c>
      <c r="AV23" t="s">
        <v>233</v>
      </c>
      <c r="AY23" t="s">
        <v>234</v>
      </c>
      <c r="BA23" t="s">
        <v>235</v>
      </c>
      <c r="BB23" t="s">
        <v>236</v>
      </c>
      <c r="BH23" t="s">
        <v>237</v>
      </c>
      <c r="BJ23" s="8">
        <v>17</v>
      </c>
    </row>
    <row r="24" spans="1:62" x14ac:dyDescent="0.15">
      <c r="A24" s="12">
        <f t="shared" si="0"/>
        <v>20</v>
      </c>
      <c r="B24" t="s">
        <v>238</v>
      </c>
      <c r="C24" t="s">
        <v>238</v>
      </c>
      <c r="D24" s="12"/>
      <c r="E24" s="12"/>
      <c r="F24" s="12"/>
      <c r="G24" s="12"/>
      <c r="H24" t="s">
        <v>107</v>
      </c>
      <c r="N24" s="8">
        <v>17</v>
      </c>
      <c r="O24" t="s">
        <v>239</v>
      </c>
      <c r="AD24" s="8">
        <v>18</v>
      </c>
      <c r="AE24" t="s">
        <v>239</v>
      </c>
      <c r="AT24" s="8">
        <v>17</v>
      </c>
      <c r="AU24" t="s">
        <v>239</v>
      </c>
      <c r="BJ24" s="8">
        <v>18</v>
      </c>
    </row>
    <row r="25" spans="1:62" x14ac:dyDescent="0.15">
      <c r="A25" s="12">
        <f t="shared" si="0"/>
        <v>21</v>
      </c>
      <c r="B25" t="s">
        <v>240</v>
      </c>
      <c r="C25" t="s">
        <v>240</v>
      </c>
      <c r="D25" s="12"/>
      <c r="E25" s="12"/>
      <c r="F25" s="12"/>
      <c r="G25" s="12"/>
      <c r="H25" t="s">
        <v>107</v>
      </c>
      <c r="N25" s="8">
        <v>18</v>
      </c>
      <c r="P25" t="s">
        <v>241</v>
      </c>
      <c r="S25" t="s">
        <v>206</v>
      </c>
      <c r="U25" t="s">
        <v>136</v>
      </c>
      <c r="W25" t="s">
        <v>207</v>
      </c>
      <c r="Y25" t="s">
        <v>242</v>
      </c>
      <c r="Z25" t="s">
        <v>196</v>
      </c>
      <c r="AB25" t="s">
        <v>243</v>
      </c>
      <c r="AC25" t="s">
        <v>244</v>
      </c>
      <c r="AD25" s="8">
        <v>19</v>
      </c>
      <c r="AF25" t="s">
        <v>241</v>
      </c>
      <c r="AI25" t="s">
        <v>206</v>
      </c>
      <c r="AK25" t="s">
        <v>136</v>
      </c>
      <c r="AM25" t="s">
        <v>207</v>
      </c>
      <c r="AO25" t="s">
        <v>242</v>
      </c>
      <c r="AP25" t="s">
        <v>196</v>
      </c>
      <c r="AR25" t="s">
        <v>243</v>
      </c>
      <c r="AS25" t="s">
        <v>244</v>
      </c>
      <c r="AT25" s="8">
        <v>18</v>
      </c>
      <c r="AV25" t="s">
        <v>241</v>
      </c>
      <c r="AY25" t="s">
        <v>206</v>
      </c>
      <c r="BA25" t="s">
        <v>136</v>
      </c>
      <c r="BC25" t="s">
        <v>207</v>
      </c>
      <c r="BE25" t="s">
        <v>242</v>
      </c>
      <c r="BF25" t="s">
        <v>196</v>
      </c>
      <c r="BH25" t="s">
        <v>243</v>
      </c>
      <c r="BI25" t="s">
        <v>244</v>
      </c>
      <c r="BJ25" s="8">
        <v>19</v>
      </c>
    </row>
    <row r="26" spans="1:62" x14ac:dyDescent="0.15">
      <c r="A26" s="12">
        <f t="shared" si="0"/>
        <v>22</v>
      </c>
      <c r="B26" t="s">
        <v>245</v>
      </c>
      <c r="C26" t="s">
        <v>245</v>
      </c>
      <c r="D26" s="12"/>
      <c r="E26" s="12"/>
      <c r="F26" s="12"/>
      <c r="G26" s="12"/>
      <c r="H26" t="s">
        <v>107</v>
      </c>
      <c r="N26" s="8">
        <v>19</v>
      </c>
      <c r="P26" t="s">
        <v>246</v>
      </c>
      <c r="R26" t="s">
        <v>210</v>
      </c>
      <c r="T26" t="s">
        <v>211</v>
      </c>
      <c r="U26" t="s">
        <v>212</v>
      </c>
      <c r="Y26" t="s">
        <v>247</v>
      </c>
      <c r="AA26" t="s">
        <v>248</v>
      </c>
      <c r="AB26" t="s">
        <v>249</v>
      </c>
      <c r="AD26" s="8">
        <v>20</v>
      </c>
      <c r="AF26" t="s">
        <v>246</v>
      </c>
      <c r="AH26" t="s">
        <v>210</v>
      </c>
      <c r="AJ26" t="s">
        <v>211</v>
      </c>
      <c r="AK26" t="s">
        <v>212</v>
      </c>
      <c r="AO26" t="s">
        <v>247</v>
      </c>
      <c r="AQ26" t="s">
        <v>248</v>
      </c>
      <c r="AR26" t="s">
        <v>249</v>
      </c>
      <c r="AT26" s="8">
        <v>19</v>
      </c>
      <c r="AV26" t="s">
        <v>246</v>
      </c>
      <c r="AX26" t="s">
        <v>210</v>
      </c>
      <c r="AZ26" t="s">
        <v>211</v>
      </c>
      <c r="BA26" t="s">
        <v>212</v>
      </c>
      <c r="BE26" t="s">
        <v>247</v>
      </c>
      <c r="BG26" t="s">
        <v>248</v>
      </c>
      <c r="BH26" t="s">
        <v>249</v>
      </c>
      <c r="BJ26" s="8">
        <v>20</v>
      </c>
    </row>
    <row r="27" spans="1:62" x14ac:dyDescent="0.15">
      <c r="A27" s="12">
        <f t="shared" si="0"/>
        <v>23</v>
      </c>
      <c r="B27" t="s">
        <v>250</v>
      </c>
      <c r="D27" s="12"/>
      <c r="E27" s="12"/>
      <c r="F27" s="12" t="s">
        <v>140</v>
      </c>
      <c r="G27" s="12"/>
      <c r="N27" s="8">
        <v>20</v>
      </c>
      <c r="P27" t="s">
        <v>251</v>
      </c>
      <c r="T27" t="s">
        <v>134</v>
      </c>
      <c r="U27" t="s">
        <v>135</v>
      </c>
      <c r="V27" t="s">
        <v>136</v>
      </c>
      <c r="W27" t="s">
        <v>137</v>
      </c>
      <c r="Y27" t="s">
        <v>138</v>
      </c>
      <c r="AA27" t="s">
        <v>252</v>
      </c>
      <c r="AD27" s="8"/>
      <c r="AT27" s="8">
        <v>20</v>
      </c>
      <c r="AU27" s="13"/>
      <c r="AV27" s="14" t="s">
        <v>253</v>
      </c>
      <c r="AW27" s="13"/>
      <c r="AX27" s="13"/>
      <c r="AY27" s="13"/>
      <c r="AZ27" s="14" t="s">
        <v>254</v>
      </c>
      <c r="BA27" s="14" t="s">
        <v>255</v>
      </c>
      <c r="BB27" s="14" t="s">
        <v>256</v>
      </c>
      <c r="BC27" s="14" t="s">
        <v>257</v>
      </c>
      <c r="BD27" s="13"/>
      <c r="BE27" s="14" t="s">
        <v>258</v>
      </c>
      <c r="BF27" s="13"/>
      <c r="BG27" s="14" t="s">
        <v>259</v>
      </c>
      <c r="BH27" s="13"/>
      <c r="BI27" s="13"/>
      <c r="BJ27" s="8"/>
    </row>
    <row r="28" spans="1:62" x14ac:dyDescent="0.15">
      <c r="A28" s="12">
        <f t="shared" si="0"/>
        <v>24</v>
      </c>
      <c r="B28" t="s">
        <v>260</v>
      </c>
      <c r="C28" t="s">
        <v>260</v>
      </c>
      <c r="D28" s="12"/>
      <c r="E28" s="12"/>
      <c r="F28" s="12"/>
      <c r="G28" s="12"/>
      <c r="H28" t="s">
        <v>107</v>
      </c>
      <c r="N28" s="8">
        <v>21</v>
      </c>
      <c r="P28" t="s">
        <v>261</v>
      </c>
      <c r="U28" t="s">
        <v>136</v>
      </c>
      <c r="W28" t="s">
        <v>200</v>
      </c>
      <c r="X28" t="s">
        <v>201</v>
      </c>
      <c r="Y28" t="s">
        <v>202</v>
      </c>
      <c r="Z28" t="s">
        <v>203</v>
      </c>
      <c r="AA28" t="s">
        <v>151</v>
      </c>
      <c r="AD28" s="8">
        <v>21</v>
      </c>
      <c r="AF28" t="s">
        <v>261</v>
      </c>
      <c r="AK28" t="s">
        <v>136</v>
      </c>
      <c r="AM28" t="s">
        <v>200</v>
      </c>
      <c r="AN28" t="s">
        <v>201</v>
      </c>
      <c r="AO28" t="s">
        <v>202</v>
      </c>
      <c r="AP28" t="s">
        <v>203</v>
      </c>
      <c r="AQ28" t="s">
        <v>151</v>
      </c>
      <c r="AT28" s="8">
        <v>21</v>
      </c>
      <c r="AV28" t="s">
        <v>261</v>
      </c>
      <c r="BA28" t="s">
        <v>136</v>
      </c>
      <c r="BC28" t="s">
        <v>200</v>
      </c>
      <c r="BD28" t="s">
        <v>201</v>
      </c>
      <c r="BE28" t="s">
        <v>202</v>
      </c>
      <c r="BF28" t="s">
        <v>203</v>
      </c>
      <c r="BG28" t="s">
        <v>151</v>
      </c>
      <c r="BJ28" s="8">
        <v>21</v>
      </c>
    </row>
    <row r="29" spans="1:62" x14ac:dyDescent="0.15">
      <c r="A29" s="12">
        <f t="shared" si="0"/>
        <v>25</v>
      </c>
      <c r="B29" t="s">
        <v>262</v>
      </c>
      <c r="C29" t="s">
        <v>262</v>
      </c>
      <c r="D29" s="12"/>
      <c r="E29" s="12"/>
      <c r="F29" s="12"/>
      <c r="G29" s="12"/>
      <c r="H29" t="s">
        <v>107</v>
      </c>
      <c r="N29" s="8">
        <v>22</v>
      </c>
      <c r="P29" t="s">
        <v>263</v>
      </c>
      <c r="T29" t="s">
        <v>136</v>
      </c>
      <c r="V29" t="s">
        <v>207</v>
      </c>
      <c r="AB29" t="s">
        <v>230</v>
      </c>
      <c r="AC29" t="s">
        <v>264</v>
      </c>
      <c r="AD29" s="8">
        <v>22</v>
      </c>
      <c r="AF29" t="s">
        <v>263</v>
      </c>
      <c r="AJ29" t="s">
        <v>136</v>
      </c>
      <c r="AL29" t="s">
        <v>207</v>
      </c>
      <c r="AR29" t="s">
        <v>230</v>
      </c>
      <c r="AS29" t="s">
        <v>264</v>
      </c>
      <c r="AT29" s="8">
        <v>22</v>
      </c>
      <c r="AV29" t="s">
        <v>263</v>
      </c>
      <c r="AZ29" t="s">
        <v>136</v>
      </c>
      <c r="BB29" t="s">
        <v>207</v>
      </c>
      <c r="BH29" t="s">
        <v>230</v>
      </c>
      <c r="BI29" t="s">
        <v>264</v>
      </c>
      <c r="BJ29" s="8">
        <v>22</v>
      </c>
    </row>
    <row r="30" spans="1:62" x14ac:dyDescent="0.15">
      <c r="A30" s="12">
        <f t="shared" si="0"/>
        <v>26</v>
      </c>
      <c r="B30" t="s">
        <v>265</v>
      </c>
      <c r="C30" t="s">
        <v>265</v>
      </c>
      <c r="D30" s="12"/>
      <c r="E30" s="12"/>
      <c r="F30" s="12"/>
      <c r="G30" s="12"/>
      <c r="H30" t="s">
        <v>107</v>
      </c>
      <c r="N30" s="8">
        <v>23</v>
      </c>
      <c r="P30" t="s">
        <v>266</v>
      </c>
      <c r="R30" t="s">
        <v>127</v>
      </c>
      <c r="T30" t="s">
        <v>128</v>
      </c>
      <c r="Y30" t="s">
        <v>267</v>
      </c>
      <c r="AA30" t="s">
        <v>268</v>
      </c>
      <c r="AD30" s="8">
        <v>23</v>
      </c>
      <c r="AF30" t="s">
        <v>266</v>
      </c>
      <c r="AH30" t="s">
        <v>127</v>
      </c>
      <c r="AJ30" t="s">
        <v>128</v>
      </c>
      <c r="AO30" t="s">
        <v>267</v>
      </c>
      <c r="AQ30" t="s">
        <v>268</v>
      </c>
      <c r="AT30" s="8">
        <v>23</v>
      </c>
      <c r="AV30" t="s">
        <v>266</v>
      </c>
      <c r="AX30" t="s">
        <v>127</v>
      </c>
      <c r="AZ30" t="s">
        <v>128</v>
      </c>
      <c r="BE30" t="s">
        <v>267</v>
      </c>
      <c r="BG30" t="s">
        <v>268</v>
      </c>
      <c r="BJ30" s="8">
        <v>23</v>
      </c>
    </row>
  </sheetData>
  <phoneticPr fontId="7"/>
  <conditionalFormatting sqref="O5:AC30">
    <cfRule type="cellIs" dxfId="3" priority="1" stopIfTrue="1" operator="notEqual">
      <formula>AE5</formula>
    </cfRule>
  </conditionalFormatting>
  <conditionalFormatting sqref="AE5:AS30">
    <cfRule type="cellIs" dxfId="2" priority="2" stopIfTrue="1" operator="notEqual">
      <formula>O5</formula>
    </cfRule>
  </conditionalFormatting>
  <hyperlinks>
    <hyperlink ref="R1" r:id="rId1" display="ファイル名(L): C:\test\回覧・ワークフロー（課長フォルダ）\sample.xlsx / ファイル名(R): C:\test\回覧・ワークフロー（課長フォルダ）\sample.xlsx @ Created by ii-exsh-diff-pro v.1.00. threshold=1.0. target_columns=&quot;A:B&quot;." xr:uid="{00000000-0004-0000-0200-000000000000}"/>
    <hyperlink ref="A3" location="'ii-exsh-diff-pro'!A1" display="#" xr:uid="{00000000-0004-0000-0200-000001000000}"/>
  </hyperlinks>
  <pageMargins left="0.75" right="0.75" top="1" bottom="1" header="0.5" footer="0.5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J29"/>
  <sheetViews>
    <sheetView workbookViewId="0">
      <pane xSplit="13" ySplit="4" topLeftCell="N5" activePane="bottomRight" state="frozen"/>
      <selection pane="topRight"/>
      <selection pane="bottomLeft"/>
      <selection pane="bottomRight" activeCell="R1" sqref="R1"/>
    </sheetView>
  </sheetViews>
  <sheetFormatPr defaultRowHeight="13.5" x14ac:dyDescent="0.15"/>
  <cols>
    <col min="1" max="1" width="5" customWidth="1"/>
    <col min="2" max="3" width="13" hidden="1" customWidth="1"/>
    <col min="6" max="6" width="3" customWidth="1"/>
    <col min="7" max="7" width="15" customWidth="1"/>
    <col min="8" max="13" width="13" hidden="1" customWidth="1"/>
    <col min="14" max="14" width="5" customWidth="1"/>
    <col min="15" max="16" width="13" customWidth="1"/>
    <col min="17" max="17" width="3.625" customWidth="1"/>
    <col min="18" max="29" width="13" customWidth="1"/>
    <col min="30" max="30" width="5" customWidth="1"/>
    <col min="31" max="32" width="13" customWidth="1"/>
    <col min="33" max="33" width="3.625" customWidth="1"/>
    <col min="34" max="45" width="13" customWidth="1"/>
    <col min="46" max="46" width="5" customWidth="1"/>
    <col min="47" max="48" width="13" customWidth="1"/>
    <col min="49" max="49" width="3.625" customWidth="1"/>
    <col min="50" max="61" width="13" customWidth="1"/>
    <col min="62" max="62" width="5" customWidth="1"/>
  </cols>
  <sheetData>
    <row r="1" spans="1:62" ht="25.5" x14ac:dyDescent="0.25">
      <c r="A1" s="1" t="s">
        <v>38</v>
      </c>
      <c r="R1" s="7" t="s">
        <v>274</v>
      </c>
      <c r="BJ1" s="8"/>
    </row>
    <row r="2" spans="1:62" ht="2.1" customHeight="1" x14ac:dyDescent="0.1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</row>
    <row r="3" spans="1:62" ht="21" x14ac:dyDescent="0.2">
      <c r="A3" s="9" t="s">
        <v>39</v>
      </c>
      <c r="B3" t="s">
        <v>40</v>
      </c>
      <c r="C3" t="s">
        <v>41</v>
      </c>
      <c r="D3" t="s">
        <v>1</v>
      </c>
      <c r="E3" t="s">
        <v>2</v>
      </c>
      <c r="F3" t="s">
        <v>42</v>
      </c>
      <c r="G3" t="s">
        <v>43</v>
      </c>
      <c r="N3" s="10"/>
      <c r="O3" s="11" t="s">
        <v>20</v>
      </c>
      <c r="AD3" s="8"/>
      <c r="AE3" s="11" t="s">
        <v>21</v>
      </c>
      <c r="AT3" s="8"/>
      <c r="AU3" s="11" t="s">
        <v>44</v>
      </c>
      <c r="BJ3" s="8"/>
    </row>
    <row r="4" spans="1:62" x14ac:dyDescent="0.15">
      <c r="A4" s="10" t="s">
        <v>45</v>
      </c>
      <c r="B4" s="10" t="s">
        <v>46</v>
      </c>
      <c r="C4" s="10" t="s">
        <v>47</v>
      </c>
      <c r="D4" s="10" t="s">
        <v>48</v>
      </c>
      <c r="E4" s="10" t="s">
        <v>49</v>
      </c>
      <c r="F4" s="10" t="s">
        <v>50</v>
      </c>
      <c r="G4" s="10" t="s">
        <v>51</v>
      </c>
      <c r="H4" s="10" t="s">
        <v>52</v>
      </c>
      <c r="I4" s="10" t="s">
        <v>53</v>
      </c>
      <c r="J4" s="10" t="s">
        <v>54</v>
      </c>
      <c r="K4" s="10" t="s">
        <v>55</v>
      </c>
      <c r="L4" s="10" t="s">
        <v>56</v>
      </c>
      <c r="M4" s="10" t="s">
        <v>57</v>
      </c>
      <c r="N4" s="10" t="s">
        <v>58</v>
      </c>
      <c r="O4" s="10" t="s">
        <v>59</v>
      </c>
      <c r="P4" s="10" t="s">
        <v>60</v>
      </c>
      <c r="Q4" s="10" t="s">
        <v>61</v>
      </c>
      <c r="R4" s="10" t="s">
        <v>62</v>
      </c>
      <c r="S4" s="10" t="s">
        <v>63</v>
      </c>
      <c r="T4" s="10" t="s">
        <v>64</v>
      </c>
      <c r="U4" s="10" t="s">
        <v>65</v>
      </c>
      <c r="V4" s="10" t="s">
        <v>66</v>
      </c>
      <c r="W4" s="10" t="s">
        <v>67</v>
      </c>
      <c r="X4" s="10" t="s">
        <v>68</v>
      </c>
      <c r="Y4" s="10" t="s">
        <v>69</v>
      </c>
      <c r="Z4" s="10" t="s">
        <v>70</v>
      </c>
      <c r="AA4" s="10" t="s">
        <v>71</v>
      </c>
      <c r="AB4" s="10" t="s">
        <v>72</v>
      </c>
      <c r="AC4" s="10" t="s">
        <v>73</v>
      </c>
      <c r="AD4" s="10" t="s">
        <v>74</v>
      </c>
      <c r="AE4" s="10" t="s">
        <v>75</v>
      </c>
      <c r="AF4" s="10" t="s">
        <v>76</v>
      </c>
      <c r="AG4" s="10" t="s">
        <v>77</v>
      </c>
      <c r="AH4" s="10" t="s">
        <v>78</v>
      </c>
      <c r="AI4" s="10" t="s">
        <v>79</v>
      </c>
      <c r="AJ4" s="10" t="s">
        <v>80</v>
      </c>
      <c r="AK4" s="10" t="s">
        <v>81</v>
      </c>
      <c r="AL4" s="10" t="s">
        <v>82</v>
      </c>
      <c r="AM4" s="10" t="s">
        <v>83</v>
      </c>
      <c r="AN4" s="10" t="s">
        <v>84</v>
      </c>
      <c r="AO4" s="10" t="s">
        <v>85</v>
      </c>
      <c r="AP4" s="10" t="s">
        <v>86</v>
      </c>
      <c r="AQ4" s="10" t="s">
        <v>87</v>
      </c>
      <c r="AR4" s="10" t="s">
        <v>88</v>
      </c>
      <c r="AS4" s="10" t="s">
        <v>89</v>
      </c>
      <c r="AT4" s="10" t="s">
        <v>90</v>
      </c>
      <c r="AU4" s="10" t="s">
        <v>91</v>
      </c>
      <c r="AV4" s="10" t="s">
        <v>92</v>
      </c>
      <c r="AW4" s="10" t="s">
        <v>93</v>
      </c>
      <c r="AX4" s="10" t="s">
        <v>94</v>
      </c>
      <c r="AY4" s="10" t="s">
        <v>95</v>
      </c>
      <c r="AZ4" s="10" t="s">
        <v>96</v>
      </c>
      <c r="BA4" s="10" t="s">
        <v>97</v>
      </c>
      <c r="BB4" s="10" t="s">
        <v>98</v>
      </c>
      <c r="BC4" s="10" t="s">
        <v>99</v>
      </c>
      <c r="BD4" s="10" t="s">
        <v>100</v>
      </c>
      <c r="BE4" s="10" t="s">
        <v>101</v>
      </c>
      <c r="BF4" s="10" t="s">
        <v>102</v>
      </c>
      <c r="BG4" s="10" t="s">
        <v>103</v>
      </c>
      <c r="BH4" s="10" t="s">
        <v>104</v>
      </c>
      <c r="BI4" s="10" t="s">
        <v>105</v>
      </c>
      <c r="BJ4" s="8"/>
    </row>
    <row r="5" spans="1:62" x14ac:dyDescent="0.15">
      <c r="A5" s="12">
        <f t="shared" ref="A5:A29" si="0">ROW() - 4</f>
        <v>1</v>
      </c>
      <c r="B5" t="s">
        <v>106</v>
      </c>
      <c r="C5" t="s">
        <v>106</v>
      </c>
      <c r="D5" s="12"/>
      <c r="E5" s="12"/>
      <c r="F5" s="12"/>
      <c r="G5" s="12"/>
      <c r="H5" t="s">
        <v>107</v>
      </c>
      <c r="N5" s="8">
        <v>1</v>
      </c>
      <c r="O5" t="s">
        <v>108</v>
      </c>
      <c r="P5" t="s">
        <v>109</v>
      </c>
      <c r="Q5" t="s">
        <v>110</v>
      </c>
      <c r="R5" t="s">
        <v>111</v>
      </c>
      <c r="S5" t="s">
        <v>112</v>
      </c>
      <c r="T5" t="s">
        <v>113</v>
      </c>
      <c r="U5" t="s">
        <v>114</v>
      </c>
      <c r="V5" t="s">
        <v>115</v>
      </c>
      <c r="W5" t="s">
        <v>116</v>
      </c>
      <c r="X5" t="s">
        <v>117</v>
      </c>
      <c r="Y5" t="s">
        <v>118</v>
      </c>
      <c r="Z5" t="s">
        <v>119</v>
      </c>
      <c r="AA5" t="s">
        <v>120</v>
      </c>
      <c r="AB5" t="s">
        <v>121</v>
      </c>
      <c r="AC5" t="s">
        <v>122</v>
      </c>
      <c r="AD5" s="8">
        <v>1</v>
      </c>
      <c r="AE5" t="s">
        <v>108</v>
      </c>
      <c r="AF5" t="s">
        <v>109</v>
      </c>
      <c r="AG5" t="s">
        <v>110</v>
      </c>
      <c r="AH5" t="s">
        <v>111</v>
      </c>
      <c r="AI5" t="s">
        <v>112</v>
      </c>
      <c r="AJ5" t="s">
        <v>113</v>
      </c>
      <c r="AK5" t="s">
        <v>114</v>
      </c>
      <c r="AL5" t="s">
        <v>115</v>
      </c>
      <c r="AM5" t="s">
        <v>116</v>
      </c>
      <c r="AN5" t="s">
        <v>117</v>
      </c>
      <c r="AO5" t="s">
        <v>118</v>
      </c>
      <c r="AP5" t="s">
        <v>119</v>
      </c>
      <c r="AQ5" t="s">
        <v>120</v>
      </c>
      <c r="AR5" t="s">
        <v>121</v>
      </c>
      <c r="AS5" t="s">
        <v>122</v>
      </c>
      <c r="AT5" s="8">
        <v>1</v>
      </c>
      <c r="AU5" t="s">
        <v>108</v>
      </c>
      <c r="AV5" t="s">
        <v>109</v>
      </c>
      <c r="AW5" t="s">
        <v>110</v>
      </c>
      <c r="AX5" t="s">
        <v>111</v>
      </c>
      <c r="AY5" t="s">
        <v>112</v>
      </c>
      <c r="AZ5" t="s">
        <v>113</v>
      </c>
      <c r="BA5" t="s">
        <v>114</v>
      </c>
      <c r="BB5" t="s">
        <v>115</v>
      </c>
      <c r="BC5" t="s">
        <v>116</v>
      </c>
      <c r="BD5" t="s">
        <v>117</v>
      </c>
      <c r="BE5" t="s">
        <v>118</v>
      </c>
      <c r="BF5" t="s">
        <v>119</v>
      </c>
      <c r="BG5" t="s">
        <v>120</v>
      </c>
      <c r="BH5" t="s">
        <v>121</v>
      </c>
      <c r="BI5" t="s">
        <v>122</v>
      </c>
      <c r="BJ5" s="8">
        <v>1</v>
      </c>
    </row>
    <row r="6" spans="1:62" x14ac:dyDescent="0.15">
      <c r="A6" s="12">
        <f t="shared" si="0"/>
        <v>2</v>
      </c>
      <c r="B6" t="s">
        <v>123</v>
      </c>
      <c r="C6" t="s">
        <v>123</v>
      </c>
      <c r="D6" s="12"/>
      <c r="E6" s="12"/>
      <c r="F6" s="12"/>
      <c r="G6" s="12"/>
      <c r="H6" t="s">
        <v>107</v>
      </c>
      <c r="N6" s="8">
        <v>2</v>
      </c>
      <c r="O6" t="s">
        <v>124</v>
      </c>
      <c r="AD6" s="8">
        <v>2</v>
      </c>
      <c r="AE6" t="s">
        <v>124</v>
      </c>
      <c r="AT6" s="8">
        <v>2</v>
      </c>
      <c r="AU6" t="s">
        <v>124</v>
      </c>
      <c r="BJ6" s="8">
        <v>2</v>
      </c>
    </row>
    <row r="7" spans="1:62" x14ac:dyDescent="0.15">
      <c r="A7" s="12">
        <f t="shared" si="0"/>
        <v>3</v>
      </c>
      <c r="B7" t="s">
        <v>125</v>
      </c>
      <c r="C7" t="s">
        <v>125</v>
      </c>
      <c r="D7" s="12"/>
      <c r="E7" s="12"/>
      <c r="F7" s="12"/>
      <c r="G7" s="12"/>
      <c r="H7" t="s">
        <v>107</v>
      </c>
      <c r="N7" s="8">
        <v>3</v>
      </c>
      <c r="P7" t="s">
        <v>126</v>
      </c>
      <c r="R7" t="s">
        <v>127</v>
      </c>
      <c r="T7" t="s">
        <v>128</v>
      </c>
      <c r="Y7" t="s">
        <v>129</v>
      </c>
      <c r="AA7" t="s">
        <v>130</v>
      </c>
      <c r="AD7" s="8">
        <v>3</v>
      </c>
      <c r="AF7" t="s">
        <v>126</v>
      </c>
      <c r="AH7" t="s">
        <v>127</v>
      </c>
      <c r="AJ7" t="s">
        <v>128</v>
      </c>
      <c r="AO7" t="s">
        <v>129</v>
      </c>
      <c r="AQ7" t="s">
        <v>130</v>
      </c>
      <c r="AT7" s="8">
        <v>3</v>
      </c>
      <c r="AV7" t="s">
        <v>126</v>
      </c>
      <c r="AX7" t="s">
        <v>127</v>
      </c>
      <c r="AZ7" t="s">
        <v>128</v>
      </c>
      <c r="BE7" t="s">
        <v>129</v>
      </c>
      <c r="BG7" t="s">
        <v>130</v>
      </c>
      <c r="BJ7" s="8">
        <v>3</v>
      </c>
    </row>
    <row r="8" spans="1:62" x14ac:dyDescent="0.15">
      <c r="A8" s="12">
        <f t="shared" si="0"/>
        <v>4</v>
      </c>
      <c r="B8" t="s">
        <v>131</v>
      </c>
      <c r="C8" t="s">
        <v>131</v>
      </c>
      <c r="D8" s="12"/>
      <c r="E8" s="12"/>
      <c r="F8" s="12"/>
      <c r="G8" s="12"/>
      <c r="H8" t="s">
        <v>107</v>
      </c>
      <c r="N8" s="8">
        <v>4</v>
      </c>
      <c r="P8" t="s">
        <v>132</v>
      </c>
      <c r="R8" t="s">
        <v>133</v>
      </c>
      <c r="U8" t="s">
        <v>134</v>
      </c>
      <c r="V8" t="s">
        <v>135</v>
      </c>
      <c r="W8" t="s">
        <v>136</v>
      </c>
      <c r="X8" t="s">
        <v>137</v>
      </c>
      <c r="Z8" t="s">
        <v>138</v>
      </c>
      <c r="AD8" s="8">
        <v>4</v>
      </c>
      <c r="AF8" t="s">
        <v>132</v>
      </c>
      <c r="AH8" t="s">
        <v>133</v>
      </c>
      <c r="AK8" t="s">
        <v>134</v>
      </c>
      <c r="AL8" t="s">
        <v>135</v>
      </c>
      <c r="AM8" t="s">
        <v>136</v>
      </c>
      <c r="AN8" t="s">
        <v>137</v>
      </c>
      <c r="AP8" t="s">
        <v>138</v>
      </c>
      <c r="AT8" s="8">
        <v>4</v>
      </c>
      <c r="AV8" t="s">
        <v>132</v>
      </c>
      <c r="AX8" t="s">
        <v>133</v>
      </c>
      <c r="BA8" t="s">
        <v>134</v>
      </c>
      <c r="BB8" t="s">
        <v>135</v>
      </c>
      <c r="BC8" t="s">
        <v>136</v>
      </c>
      <c r="BD8" t="s">
        <v>137</v>
      </c>
      <c r="BF8" t="s">
        <v>138</v>
      </c>
      <c r="BJ8" s="8">
        <v>4</v>
      </c>
    </row>
    <row r="9" spans="1:62" x14ac:dyDescent="0.15">
      <c r="A9" s="12">
        <f t="shared" si="0"/>
        <v>5</v>
      </c>
      <c r="C9" t="s">
        <v>139</v>
      </c>
      <c r="D9" s="12"/>
      <c r="E9" s="12"/>
      <c r="F9" s="12" t="s">
        <v>140</v>
      </c>
      <c r="G9" s="12"/>
      <c r="N9" s="8"/>
      <c r="AD9" s="8">
        <v>5</v>
      </c>
      <c r="AF9" t="s">
        <v>141</v>
      </c>
      <c r="AK9" t="s">
        <v>142</v>
      </c>
      <c r="AM9" t="s">
        <v>143</v>
      </c>
      <c r="AQ9" t="s">
        <v>144</v>
      </c>
      <c r="AT9" s="8"/>
      <c r="AU9" s="13"/>
      <c r="AV9" s="14" t="s">
        <v>145</v>
      </c>
      <c r="AW9" s="13"/>
      <c r="AX9" s="13"/>
      <c r="AY9" s="13"/>
      <c r="AZ9" s="13"/>
      <c r="BA9" s="14" t="s">
        <v>146</v>
      </c>
      <c r="BB9" s="13"/>
      <c r="BC9" s="14" t="s">
        <v>147</v>
      </c>
      <c r="BD9" s="13"/>
      <c r="BE9" s="13"/>
      <c r="BF9" s="13"/>
      <c r="BG9" s="14" t="s">
        <v>148</v>
      </c>
      <c r="BH9" s="13"/>
      <c r="BI9" s="13"/>
      <c r="BJ9" s="8">
        <v>5</v>
      </c>
    </row>
    <row r="10" spans="1:62" x14ac:dyDescent="0.15">
      <c r="A10" s="12">
        <f t="shared" si="0"/>
        <v>6</v>
      </c>
      <c r="B10" t="s">
        <v>149</v>
      </c>
      <c r="C10" t="s">
        <v>149</v>
      </c>
      <c r="D10" s="12"/>
      <c r="E10" s="12"/>
      <c r="F10" s="12"/>
      <c r="G10" s="12"/>
      <c r="H10" t="s">
        <v>107</v>
      </c>
      <c r="N10" s="8">
        <v>5</v>
      </c>
      <c r="P10" t="s">
        <v>150</v>
      </c>
      <c r="R10" t="s">
        <v>151</v>
      </c>
      <c r="T10" t="s">
        <v>152</v>
      </c>
      <c r="V10" t="s">
        <v>153</v>
      </c>
      <c r="AA10" t="s">
        <v>154</v>
      </c>
      <c r="AC10" t="s">
        <v>155</v>
      </c>
      <c r="AD10" s="8">
        <v>6</v>
      </c>
      <c r="AF10" t="s">
        <v>150</v>
      </c>
      <c r="AH10" t="s">
        <v>151</v>
      </c>
      <c r="AJ10" t="s">
        <v>152</v>
      </c>
      <c r="AL10" t="s">
        <v>153</v>
      </c>
      <c r="AQ10" t="s">
        <v>154</v>
      </c>
      <c r="AS10" t="s">
        <v>155</v>
      </c>
      <c r="AT10" s="8">
        <v>5</v>
      </c>
      <c r="AV10" t="s">
        <v>150</v>
      </c>
      <c r="AX10" t="s">
        <v>151</v>
      </c>
      <c r="AZ10" t="s">
        <v>152</v>
      </c>
      <c r="BB10" t="s">
        <v>153</v>
      </c>
      <c r="BG10" t="s">
        <v>154</v>
      </c>
      <c r="BI10" t="s">
        <v>155</v>
      </c>
      <c r="BJ10" s="8">
        <v>6</v>
      </c>
    </row>
    <row r="11" spans="1:62" x14ac:dyDescent="0.15">
      <c r="A11" s="12">
        <f t="shared" si="0"/>
        <v>7</v>
      </c>
      <c r="B11" t="s">
        <v>156</v>
      </c>
      <c r="C11" t="s">
        <v>156</v>
      </c>
      <c r="D11" s="12"/>
      <c r="E11" s="12"/>
      <c r="F11" s="12"/>
      <c r="G11" s="12"/>
      <c r="H11" t="s">
        <v>107</v>
      </c>
      <c r="N11" s="8">
        <v>6</v>
      </c>
      <c r="P11" t="s">
        <v>157</v>
      </c>
      <c r="U11" t="s">
        <v>158</v>
      </c>
      <c r="Y11" t="s">
        <v>159</v>
      </c>
      <c r="AA11" t="s">
        <v>160</v>
      </c>
      <c r="AD11" s="8">
        <v>7</v>
      </c>
      <c r="AF11" t="s">
        <v>157</v>
      </c>
      <c r="AK11" t="s">
        <v>158</v>
      </c>
      <c r="AO11" t="s">
        <v>159</v>
      </c>
      <c r="AQ11" t="s">
        <v>160</v>
      </c>
      <c r="AT11" s="8">
        <v>6</v>
      </c>
      <c r="AV11" t="s">
        <v>157</v>
      </c>
      <c r="BA11" t="s">
        <v>158</v>
      </c>
      <c r="BE11" t="s">
        <v>159</v>
      </c>
      <c r="BG11" t="s">
        <v>160</v>
      </c>
      <c r="BJ11" s="8">
        <v>7</v>
      </c>
    </row>
    <row r="12" spans="1:62" x14ac:dyDescent="0.15">
      <c r="A12" s="12">
        <f t="shared" si="0"/>
        <v>8</v>
      </c>
      <c r="B12" t="s">
        <v>161</v>
      </c>
      <c r="C12" t="s">
        <v>161</v>
      </c>
      <c r="D12" s="12"/>
      <c r="E12" s="12"/>
      <c r="F12" s="12"/>
      <c r="G12" s="12"/>
      <c r="H12" t="s">
        <v>107</v>
      </c>
      <c r="N12" s="8">
        <v>7</v>
      </c>
      <c r="O12" t="s">
        <v>162</v>
      </c>
      <c r="S12" t="s">
        <v>163</v>
      </c>
      <c r="W12" t="s">
        <v>164</v>
      </c>
      <c r="AB12" t="s">
        <v>165</v>
      </c>
      <c r="AC12" t="s">
        <v>136</v>
      </c>
      <c r="AD12" s="8">
        <v>8</v>
      </c>
      <c r="AE12" t="s">
        <v>162</v>
      </c>
      <c r="AI12" t="s">
        <v>163</v>
      </c>
      <c r="AM12" t="s">
        <v>164</v>
      </c>
      <c r="AR12" t="s">
        <v>165</v>
      </c>
      <c r="AS12" t="s">
        <v>136</v>
      </c>
      <c r="AT12" s="8">
        <v>7</v>
      </c>
      <c r="AU12" t="s">
        <v>162</v>
      </c>
      <c r="AY12" t="s">
        <v>163</v>
      </c>
      <c r="BC12" t="s">
        <v>164</v>
      </c>
      <c r="BH12" t="s">
        <v>165</v>
      </c>
      <c r="BI12" t="s">
        <v>136</v>
      </c>
      <c r="BJ12" s="8">
        <v>8</v>
      </c>
    </row>
    <row r="13" spans="1:62" x14ac:dyDescent="0.15">
      <c r="A13" s="12">
        <f t="shared" si="0"/>
        <v>9</v>
      </c>
      <c r="B13" t="s">
        <v>166</v>
      </c>
      <c r="C13" t="s">
        <v>166</v>
      </c>
      <c r="D13" s="12"/>
      <c r="E13" s="12"/>
      <c r="F13" s="12"/>
      <c r="G13" s="12"/>
      <c r="H13" t="s">
        <v>107</v>
      </c>
      <c r="N13" s="8">
        <v>8</v>
      </c>
      <c r="P13" t="s">
        <v>167</v>
      </c>
      <c r="R13" t="s">
        <v>168</v>
      </c>
      <c r="T13" t="s">
        <v>169</v>
      </c>
      <c r="V13" t="s">
        <v>170</v>
      </c>
      <c r="X13" t="s">
        <v>171</v>
      </c>
      <c r="AA13" t="s">
        <v>172</v>
      </c>
      <c r="AD13" s="8">
        <v>9</v>
      </c>
      <c r="AF13" t="s">
        <v>167</v>
      </c>
      <c r="AH13" t="s">
        <v>168</v>
      </c>
      <c r="AJ13" t="s">
        <v>169</v>
      </c>
      <c r="AL13" t="s">
        <v>170</v>
      </c>
      <c r="AN13" t="s">
        <v>171</v>
      </c>
      <c r="AQ13" t="s">
        <v>172</v>
      </c>
      <c r="AT13" s="8">
        <v>8</v>
      </c>
      <c r="AV13" t="s">
        <v>167</v>
      </c>
      <c r="AX13" t="s">
        <v>168</v>
      </c>
      <c r="AZ13" t="s">
        <v>169</v>
      </c>
      <c r="BB13" t="s">
        <v>170</v>
      </c>
      <c r="BD13" t="s">
        <v>171</v>
      </c>
      <c r="BG13" t="s">
        <v>172</v>
      </c>
      <c r="BJ13" s="8">
        <v>9</v>
      </c>
    </row>
    <row r="14" spans="1:62" x14ac:dyDescent="0.15">
      <c r="A14" s="12">
        <f t="shared" si="0"/>
        <v>10</v>
      </c>
      <c r="B14" t="s">
        <v>139</v>
      </c>
      <c r="D14" s="12"/>
      <c r="E14" s="12"/>
      <c r="F14" s="12" t="s">
        <v>140</v>
      </c>
      <c r="G14" s="12"/>
      <c r="N14" s="8">
        <v>9</v>
      </c>
      <c r="P14" t="s">
        <v>141</v>
      </c>
      <c r="U14" t="s">
        <v>142</v>
      </c>
      <c r="W14" t="s">
        <v>143</v>
      </c>
      <c r="AA14" t="s">
        <v>144</v>
      </c>
      <c r="AD14" s="8"/>
      <c r="AT14" s="8">
        <v>9</v>
      </c>
      <c r="AU14" s="13"/>
      <c r="AV14" s="14" t="s">
        <v>183</v>
      </c>
      <c r="AW14" s="13"/>
      <c r="AX14" s="13"/>
      <c r="AY14" s="13"/>
      <c r="AZ14" s="13"/>
      <c r="BA14" s="14" t="s">
        <v>184</v>
      </c>
      <c r="BB14" s="13"/>
      <c r="BC14" s="14" t="s">
        <v>185</v>
      </c>
      <c r="BD14" s="13"/>
      <c r="BE14" s="13"/>
      <c r="BF14" s="13"/>
      <c r="BG14" s="14" t="s">
        <v>186</v>
      </c>
      <c r="BH14" s="13"/>
      <c r="BI14" s="13"/>
      <c r="BJ14" s="8"/>
    </row>
    <row r="15" spans="1:62" x14ac:dyDescent="0.15">
      <c r="A15" s="12">
        <f t="shared" si="0"/>
        <v>11</v>
      </c>
      <c r="B15" t="s">
        <v>187</v>
      </c>
      <c r="C15" t="s">
        <v>173</v>
      </c>
      <c r="D15" s="12"/>
      <c r="E15" s="12"/>
      <c r="F15" s="12" t="s">
        <v>140</v>
      </c>
      <c r="G15" s="12"/>
      <c r="H15" t="s">
        <v>269</v>
      </c>
      <c r="N15" s="8">
        <v>10</v>
      </c>
      <c r="P15" t="s">
        <v>188</v>
      </c>
      <c r="R15" t="s">
        <v>175</v>
      </c>
      <c r="S15" t="s">
        <v>176</v>
      </c>
      <c r="W15" t="s">
        <v>177</v>
      </c>
      <c r="Y15" t="s">
        <v>171</v>
      </c>
      <c r="AD15" s="8">
        <v>10</v>
      </c>
      <c r="AF15" t="s">
        <v>174</v>
      </c>
      <c r="AH15" t="s">
        <v>175</v>
      </c>
      <c r="AI15" t="s">
        <v>176</v>
      </c>
      <c r="AM15" t="s">
        <v>177</v>
      </c>
      <c r="AO15" t="s">
        <v>171</v>
      </c>
      <c r="AT15" s="8">
        <v>10</v>
      </c>
      <c r="AV15" s="14" t="s">
        <v>270</v>
      </c>
      <c r="AX15" t="s">
        <v>175</v>
      </c>
      <c r="AY15" t="s">
        <v>176</v>
      </c>
      <c r="BC15" t="s">
        <v>177</v>
      </c>
      <c r="BE15" t="s">
        <v>171</v>
      </c>
      <c r="BJ15" s="8">
        <v>10</v>
      </c>
    </row>
    <row r="16" spans="1:62" x14ac:dyDescent="0.15">
      <c r="A16" s="12">
        <f t="shared" si="0"/>
        <v>12</v>
      </c>
      <c r="B16" t="s">
        <v>194</v>
      </c>
      <c r="C16" t="s">
        <v>194</v>
      </c>
      <c r="D16" s="12"/>
      <c r="E16" s="12"/>
      <c r="F16" s="12"/>
      <c r="G16" s="12"/>
      <c r="H16" t="s">
        <v>107</v>
      </c>
      <c r="N16" s="8">
        <v>11</v>
      </c>
      <c r="P16" t="s">
        <v>195</v>
      </c>
      <c r="S16" t="s">
        <v>136</v>
      </c>
      <c r="U16" t="s">
        <v>196</v>
      </c>
      <c r="AD16" s="8">
        <v>11</v>
      </c>
      <c r="AF16" t="s">
        <v>195</v>
      </c>
      <c r="AI16" t="s">
        <v>136</v>
      </c>
      <c r="AK16" t="s">
        <v>196</v>
      </c>
      <c r="AT16" s="8">
        <v>11</v>
      </c>
      <c r="AV16" t="s">
        <v>195</v>
      </c>
      <c r="AY16" t="s">
        <v>136</v>
      </c>
      <c r="BA16" t="s">
        <v>196</v>
      </c>
      <c r="BJ16" s="8">
        <v>11</v>
      </c>
    </row>
    <row r="17" spans="1:62" x14ac:dyDescent="0.15">
      <c r="A17" s="12">
        <f t="shared" si="0"/>
        <v>13</v>
      </c>
      <c r="B17" t="s">
        <v>197</v>
      </c>
      <c r="C17" t="s">
        <v>197</v>
      </c>
      <c r="D17" s="12"/>
      <c r="E17" s="12"/>
      <c r="F17" s="12"/>
      <c r="G17" s="12"/>
      <c r="H17" t="s">
        <v>107</v>
      </c>
      <c r="N17" s="8">
        <v>12</v>
      </c>
      <c r="O17" t="s">
        <v>198</v>
      </c>
      <c r="T17" t="s">
        <v>199</v>
      </c>
      <c r="W17" t="s">
        <v>136</v>
      </c>
      <c r="Y17" t="s">
        <v>200</v>
      </c>
      <c r="Z17" t="s">
        <v>201</v>
      </c>
      <c r="AA17" t="s">
        <v>202</v>
      </c>
      <c r="AB17" t="s">
        <v>203</v>
      </c>
      <c r="AD17" s="8">
        <v>12</v>
      </c>
      <c r="AE17" t="s">
        <v>198</v>
      </c>
      <c r="AJ17" t="s">
        <v>199</v>
      </c>
      <c r="AM17" t="s">
        <v>136</v>
      </c>
      <c r="AO17" t="s">
        <v>200</v>
      </c>
      <c r="AP17" t="s">
        <v>201</v>
      </c>
      <c r="AQ17" t="s">
        <v>202</v>
      </c>
      <c r="AR17" t="s">
        <v>203</v>
      </c>
      <c r="AT17" s="8">
        <v>12</v>
      </c>
      <c r="AU17" t="s">
        <v>198</v>
      </c>
      <c r="AZ17" t="s">
        <v>199</v>
      </c>
      <c r="BC17" t="s">
        <v>136</v>
      </c>
      <c r="BE17" t="s">
        <v>200</v>
      </c>
      <c r="BF17" t="s">
        <v>201</v>
      </c>
      <c r="BG17" t="s">
        <v>202</v>
      </c>
      <c r="BH17" t="s">
        <v>203</v>
      </c>
      <c r="BJ17" s="8">
        <v>12</v>
      </c>
    </row>
    <row r="18" spans="1:62" x14ac:dyDescent="0.15">
      <c r="A18" s="12">
        <f t="shared" si="0"/>
        <v>14</v>
      </c>
      <c r="B18" t="s">
        <v>204</v>
      </c>
      <c r="C18" t="s">
        <v>204</v>
      </c>
      <c r="D18" s="12"/>
      <c r="E18" s="12"/>
      <c r="F18" s="12"/>
      <c r="G18" s="12"/>
      <c r="H18" t="s">
        <v>107</v>
      </c>
      <c r="N18" s="8">
        <v>13</v>
      </c>
      <c r="P18" t="s">
        <v>205</v>
      </c>
      <c r="T18" t="s">
        <v>206</v>
      </c>
      <c r="V18" t="s">
        <v>136</v>
      </c>
      <c r="X18" t="s">
        <v>207</v>
      </c>
      <c r="AD18" s="8">
        <v>13</v>
      </c>
      <c r="AF18" t="s">
        <v>205</v>
      </c>
      <c r="AJ18" t="s">
        <v>206</v>
      </c>
      <c r="AL18" t="s">
        <v>136</v>
      </c>
      <c r="AN18" t="s">
        <v>207</v>
      </c>
      <c r="AT18" s="8">
        <v>13</v>
      </c>
      <c r="AV18" t="s">
        <v>205</v>
      </c>
      <c r="AZ18" t="s">
        <v>206</v>
      </c>
      <c r="BB18" t="s">
        <v>136</v>
      </c>
      <c r="BD18" t="s">
        <v>207</v>
      </c>
      <c r="BJ18" s="8">
        <v>13</v>
      </c>
    </row>
    <row r="19" spans="1:62" x14ac:dyDescent="0.15">
      <c r="A19" s="12">
        <f t="shared" si="0"/>
        <v>15</v>
      </c>
      <c r="B19" t="s">
        <v>208</v>
      </c>
      <c r="C19" t="s">
        <v>208</v>
      </c>
      <c r="D19" s="12"/>
      <c r="E19" s="12"/>
      <c r="F19" s="12"/>
      <c r="G19" s="12"/>
      <c r="H19" t="s">
        <v>107</v>
      </c>
      <c r="N19" s="8">
        <v>14</v>
      </c>
      <c r="P19" t="s">
        <v>209</v>
      </c>
      <c r="S19" t="s">
        <v>210</v>
      </c>
      <c r="U19" t="s">
        <v>211</v>
      </c>
      <c r="V19" t="s">
        <v>212</v>
      </c>
      <c r="AD19" s="8">
        <v>14</v>
      </c>
      <c r="AF19" t="s">
        <v>209</v>
      </c>
      <c r="AI19" t="s">
        <v>210</v>
      </c>
      <c r="AK19" t="s">
        <v>211</v>
      </c>
      <c r="AL19" t="s">
        <v>212</v>
      </c>
      <c r="AT19" s="8">
        <v>14</v>
      </c>
      <c r="AV19" t="s">
        <v>209</v>
      </c>
      <c r="AY19" t="s">
        <v>210</v>
      </c>
      <c r="BA19" t="s">
        <v>211</v>
      </c>
      <c r="BB19" t="s">
        <v>212</v>
      </c>
      <c r="BJ19" s="8">
        <v>14</v>
      </c>
    </row>
    <row r="20" spans="1:62" x14ac:dyDescent="0.15">
      <c r="A20" s="12">
        <f t="shared" si="0"/>
        <v>16</v>
      </c>
      <c r="C20" t="s">
        <v>213</v>
      </c>
      <c r="D20" s="12"/>
      <c r="E20" s="12"/>
      <c r="F20" s="12" t="s">
        <v>140</v>
      </c>
      <c r="G20" s="12"/>
      <c r="N20" s="8"/>
      <c r="AD20" s="8">
        <v>15</v>
      </c>
      <c r="AF20" t="s">
        <v>214</v>
      </c>
      <c r="AI20" t="s">
        <v>215</v>
      </c>
      <c r="AJ20" t="s">
        <v>216</v>
      </c>
      <c r="AL20" t="s">
        <v>217</v>
      </c>
      <c r="AP20" t="s">
        <v>218</v>
      </c>
      <c r="AQ20" t="s">
        <v>219</v>
      </c>
      <c r="AR20" t="s">
        <v>220</v>
      </c>
      <c r="AT20" s="8"/>
      <c r="AU20" s="13"/>
      <c r="AV20" s="14" t="s">
        <v>221</v>
      </c>
      <c r="AW20" s="13"/>
      <c r="AX20" s="13"/>
      <c r="AY20" s="14" t="s">
        <v>222</v>
      </c>
      <c r="AZ20" s="14" t="s">
        <v>223</v>
      </c>
      <c r="BA20" s="13"/>
      <c r="BB20" s="14" t="s">
        <v>224</v>
      </c>
      <c r="BC20" s="13"/>
      <c r="BD20" s="13"/>
      <c r="BE20" s="13"/>
      <c r="BF20" s="14" t="s">
        <v>225</v>
      </c>
      <c r="BG20" s="14" t="s">
        <v>226</v>
      </c>
      <c r="BH20" s="14" t="s">
        <v>227</v>
      </c>
      <c r="BI20" s="13"/>
      <c r="BJ20" s="8">
        <v>15</v>
      </c>
    </row>
    <row r="21" spans="1:62" x14ac:dyDescent="0.15">
      <c r="A21" s="12">
        <f t="shared" si="0"/>
        <v>17</v>
      </c>
      <c r="B21" t="s">
        <v>228</v>
      </c>
      <c r="C21" t="s">
        <v>228</v>
      </c>
      <c r="D21" s="12"/>
      <c r="E21" s="12"/>
      <c r="F21" s="12"/>
      <c r="G21" s="12"/>
      <c r="H21" t="s">
        <v>107</v>
      </c>
      <c r="N21" s="8">
        <v>15</v>
      </c>
      <c r="P21" t="s">
        <v>229</v>
      </c>
      <c r="T21" t="s">
        <v>230</v>
      </c>
      <c r="U21" t="s">
        <v>196</v>
      </c>
      <c r="Y21" t="s">
        <v>231</v>
      </c>
      <c r="AC21" t="s">
        <v>135</v>
      </c>
      <c r="AD21" s="8">
        <v>16</v>
      </c>
      <c r="AF21" t="s">
        <v>229</v>
      </c>
      <c r="AJ21" t="s">
        <v>230</v>
      </c>
      <c r="AK21" t="s">
        <v>196</v>
      </c>
      <c r="AO21" t="s">
        <v>231</v>
      </c>
      <c r="AS21" t="s">
        <v>135</v>
      </c>
      <c r="AT21" s="8">
        <v>15</v>
      </c>
      <c r="AV21" t="s">
        <v>229</v>
      </c>
      <c r="AZ21" t="s">
        <v>230</v>
      </c>
      <c r="BA21" t="s">
        <v>196</v>
      </c>
      <c r="BE21" t="s">
        <v>231</v>
      </c>
      <c r="BI21" t="s">
        <v>135</v>
      </c>
      <c r="BJ21" s="8">
        <v>16</v>
      </c>
    </row>
    <row r="22" spans="1:62" x14ac:dyDescent="0.15">
      <c r="A22" s="12">
        <f t="shared" si="0"/>
        <v>18</v>
      </c>
      <c r="B22" t="s">
        <v>232</v>
      </c>
      <c r="C22" t="s">
        <v>232</v>
      </c>
      <c r="D22" s="12"/>
      <c r="E22" s="12"/>
      <c r="F22" s="12"/>
      <c r="G22" s="12"/>
      <c r="H22" t="s">
        <v>107</v>
      </c>
      <c r="N22" s="8">
        <v>16</v>
      </c>
      <c r="P22" t="s">
        <v>233</v>
      </c>
      <c r="S22" t="s">
        <v>234</v>
      </c>
      <c r="U22" t="s">
        <v>235</v>
      </c>
      <c r="V22" t="s">
        <v>236</v>
      </c>
      <c r="AB22" t="s">
        <v>237</v>
      </c>
      <c r="AD22" s="8">
        <v>17</v>
      </c>
      <c r="AF22" t="s">
        <v>233</v>
      </c>
      <c r="AI22" t="s">
        <v>234</v>
      </c>
      <c r="AK22" t="s">
        <v>235</v>
      </c>
      <c r="AL22" t="s">
        <v>236</v>
      </c>
      <c r="AR22" t="s">
        <v>237</v>
      </c>
      <c r="AT22" s="8">
        <v>16</v>
      </c>
      <c r="AV22" t="s">
        <v>233</v>
      </c>
      <c r="AY22" t="s">
        <v>234</v>
      </c>
      <c r="BA22" t="s">
        <v>235</v>
      </c>
      <c r="BB22" t="s">
        <v>236</v>
      </c>
      <c r="BH22" t="s">
        <v>237</v>
      </c>
      <c r="BJ22" s="8">
        <v>17</v>
      </c>
    </row>
    <row r="23" spans="1:62" x14ac:dyDescent="0.15">
      <c r="A23" s="12">
        <f t="shared" si="0"/>
        <v>19</v>
      </c>
      <c r="B23" t="s">
        <v>238</v>
      </c>
      <c r="C23" t="s">
        <v>238</v>
      </c>
      <c r="D23" s="12"/>
      <c r="E23" s="12"/>
      <c r="F23" s="12"/>
      <c r="G23" s="12"/>
      <c r="H23" t="s">
        <v>107</v>
      </c>
      <c r="N23" s="8">
        <v>17</v>
      </c>
      <c r="O23" t="s">
        <v>239</v>
      </c>
      <c r="AD23" s="8">
        <v>18</v>
      </c>
      <c r="AE23" t="s">
        <v>239</v>
      </c>
      <c r="AT23" s="8">
        <v>17</v>
      </c>
      <c r="AU23" t="s">
        <v>239</v>
      </c>
      <c r="BJ23" s="8">
        <v>18</v>
      </c>
    </row>
    <row r="24" spans="1:62" x14ac:dyDescent="0.15">
      <c r="A24" s="12">
        <f t="shared" si="0"/>
        <v>20</v>
      </c>
      <c r="B24" t="s">
        <v>240</v>
      </c>
      <c r="C24" t="s">
        <v>240</v>
      </c>
      <c r="D24" s="12"/>
      <c r="E24" s="12"/>
      <c r="F24" s="12"/>
      <c r="G24" s="12"/>
      <c r="H24" t="s">
        <v>107</v>
      </c>
      <c r="N24" s="8">
        <v>18</v>
      </c>
      <c r="P24" t="s">
        <v>241</v>
      </c>
      <c r="S24" t="s">
        <v>206</v>
      </c>
      <c r="U24" t="s">
        <v>136</v>
      </c>
      <c r="W24" t="s">
        <v>207</v>
      </c>
      <c r="Y24" t="s">
        <v>242</v>
      </c>
      <c r="Z24" t="s">
        <v>196</v>
      </c>
      <c r="AB24" t="s">
        <v>243</v>
      </c>
      <c r="AC24" t="s">
        <v>244</v>
      </c>
      <c r="AD24" s="8">
        <v>19</v>
      </c>
      <c r="AF24" t="s">
        <v>241</v>
      </c>
      <c r="AI24" t="s">
        <v>206</v>
      </c>
      <c r="AK24" t="s">
        <v>136</v>
      </c>
      <c r="AM24" t="s">
        <v>207</v>
      </c>
      <c r="AO24" t="s">
        <v>242</v>
      </c>
      <c r="AP24" t="s">
        <v>196</v>
      </c>
      <c r="AR24" t="s">
        <v>243</v>
      </c>
      <c r="AS24" t="s">
        <v>244</v>
      </c>
      <c r="AT24" s="8">
        <v>18</v>
      </c>
      <c r="AV24" t="s">
        <v>241</v>
      </c>
      <c r="AY24" t="s">
        <v>206</v>
      </c>
      <c r="BA24" t="s">
        <v>136</v>
      </c>
      <c r="BC24" t="s">
        <v>207</v>
      </c>
      <c r="BE24" t="s">
        <v>242</v>
      </c>
      <c r="BF24" t="s">
        <v>196</v>
      </c>
      <c r="BH24" t="s">
        <v>243</v>
      </c>
      <c r="BI24" t="s">
        <v>244</v>
      </c>
      <c r="BJ24" s="8">
        <v>19</v>
      </c>
    </row>
    <row r="25" spans="1:62" x14ac:dyDescent="0.15">
      <c r="A25" s="12">
        <f t="shared" si="0"/>
        <v>21</v>
      </c>
      <c r="B25" t="s">
        <v>245</v>
      </c>
      <c r="C25" t="s">
        <v>245</v>
      </c>
      <c r="D25" s="12"/>
      <c r="E25" s="12"/>
      <c r="F25" s="12"/>
      <c r="G25" s="12"/>
      <c r="H25" t="s">
        <v>107</v>
      </c>
      <c r="N25" s="8">
        <v>19</v>
      </c>
      <c r="P25" t="s">
        <v>246</v>
      </c>
      <c r="R25" t="s">
        <v>210</v>
      </c>
      <c r="T25" t="s">
        <v>211</v>
      </c>
      <c r="U25" t="s">
        <v>212</v>
      </c>
      <c r="Y25" t="s">
        <v>247</v>
      </c>
      <c r="AA25" t="s">
        <v>248</v>
      </c>
      <c r="AB25" t="s">
        <v>249</v>
      </c>
      <c r="AD25" s="8">
        <v>20</v>
      </c>
      <c r="AF25" t="s">
        <v>246</v>
      </c>
      <c r="AH25" t="s">
        <v>210</v>
      </c>
      <c r="AJ25" t="s">
        <v>211</v>
      </c>
      <c r="AK25" t="s">
        <v>212</v>
      </c>
      <c r="AO25" t="s">
        <v>247</v>
      </c>
      <c r="AQ25" t="s">
        <v>248</v>
      </c>
      <c r="AR25" t="s">
        <v>249</v>
      </c>
      <c r="AT25" s="8">
        <v>19</v>
      </c>
      <c r="AV25" t="s">
        <v>246</v>
      </c>
      <c r="AX25" t="s">
        <v>210</v>
      </c>
      <c r="AZ25" t="s">
        <v>211</v>
      </c>
      <c r="BA25" t="s">
        <v>212</v>
      </c>
      <c r="BE25" t="s">
        <v>247</v>
      </c>
      <c r="BG25" t="s">
        <v>248</v>
      </c>
      <c r="BH25" t="s">
        <v>249</v>
      </c>
      <c r="BJ25" s="8">
        <v>20</v>
      </c>
    </row>
    <row r="26" spans="1:62" x14ac:dyDescent="0.15">
      <c r="A26" s="12">
        <f t="shared" si="0"/>
        <v>22</v>
      </c>
      <c r="B26" t="s">
        <v>250</v>
      </c>
      <c r="D26" s="12"/>
      <c r="E26" s="12"/>
      <c r="F26" s="12" t="s">
        <v>140</v>
      </c>
      <c r="G26" s="12"/>
      <c r="N26" s="8">
        <v>20</v>
      </c>
      <c r="P26" t="s">
        <v>251</v>
      </c>
      <c r="T26" t="s">
        <v>134</v>
      </c>
      <c r="U26" t="s">
        <v>135</v>
      </c>
      <c r="V26" t="s">
        <v>136</v>
      </c>
      <c r="W26" t="s">
        <v>137</v>
      </c>
      <c r="Y26" t="s">
        <v>138</v>
      </c>
      <c r="AA26" t="s">
        <v>252</v>
      </c>
      <c r="AD26" s="8"/>
      <c r="AT26" s="8">
        <v>20</v>
      </c>
      <c r="AU26" s="13"/>
      <c r="AV26" s="14" t="s">
        <v>253</v>
      </c>
      <c r="AW26" s="13"/>
      <c r="AX26" s="13"/>
      <c r="AY26" s="13"/>
      <c r="AZ26" s="14" t="s">
        <v>254</v>
      </c>
      <c r="BA26" s="14" t="s">
        <v>255</v>
      </c>
      <c r="BB26" s="14" t="s">
        <v>256</v>
      </c>
      <c r="BC26" s="14" t="s">
        <v>257</v>
      </c>
      <c r="BD26" s="13"/>
      <c r="BE26" s="14" t="s">
        <v>258</v>
      </c>
      <c r="BF26" s="13"/>
      <c r="BG26" s="14" t="s">
        <v>259</v>
      </c>
      <c r="BH26" s="13"/>
      <c r="BI26" s="13"/>
      <c r="BJ26" s="8"/>
    </row>
    <row r="27" spans="1:62" x14ac:dyDescent="0.15">
      <c r="A27" s="12">
        <f t="shared" si="0"/>
        <v>23</v>
      </c>
      <c r="B27" t="s">
        <v>260</v>
      </c>
      <c r="C27" t="s">
        <v>260</v>
      </c>
      <c r="D27" s="12"/>
      <c r="E27" s="12"/>
      <c r="F27" s="12"/>
      <c r="G27" s="12"/>
      <c r="H27" t="s">
        <v>107</v>
      </c>
      <c r="N27" s="8">
        <v>21</v>
      </c>
      <c r="P27" t="s">
        <v>261</v>
      </c>
      <c r="U27" t="s">
        <v>136</v>
      </c>
      <c r="W27" t="s">
        <v>200</v>
      </c>
      <c r="X27" t="s">
        <v>201</v>
      </c>
      <c r="Y27" t="s">
        <v>202</v>
      </c>
      <c r="Z27" t="s">
        <v>203</v>
      </c>
      <c r="AA27" t="s">
        <v>151</v>
      </c>
      <c r="AD27" s="8">
        <v>21</v>
      </c>
      <c r="AF27" t="s">
        <v>261</v>
      </c>
      <c r="AK27" t="s">
        <v>136</v>
      </c>
      <c r="AM27" t="s">
        <v>200</v>
      </c>
      <c r="AN27" t="s">
        <v>201</v>
      </c>
      <c r="AO27" t="s">
        <v>202</v>
      </c>
      <c r="AP27" t="s">
        <v>203</v>
      </c>
      <c r="AQ27" t="s">
        <v>151</v>
      </c>
      <c r="AT27" s="8">
        <v>21</v>
      </c>
      <c r="AV27" t="s">
        <v>261</v>
      </c>
      <c r="BA27" t="s">
        <v>136</v>
      </c>
      <c r="BC27" t="s">
        <v>200</v>
      </c>
      <c r="BD27" t="s">
        <v>201</v>
      </c>
      <c r="BE27" t="s">
        <v>202</v>
      </c>
      <c r="BF27" t="s">
        <v>203</v>
      </c>
      <c r="BG27" t="s">
        <v>151</v>
      </c>
      <c r="BJ27" s="8">
        <v>21</v>
      </c>
    </row>
    <row r="28" spans="1:62" x14ac:dyDescent="0.15">
      <c r="A28" s="12">
        <f t="shared" si="0"/>
        <v>24</v>
      </c>
      <c r="B28" t="s">
        <v>262</v>
      </c>
      <c r="C28" t="s">
        <v>262</v>
      </c>
      <c r="D28" s="12"/>
      <c r="E28" s="12"/>
      <c r="F28" s="12"/>
      <c r="G28" s="12"/>
      <c r="H28" t="s">
        <v>107</v>
      </c>
      <c r="N28" s="8">
        <v>22</v>
      </c>
      <c r="P28" t="s">
        <v>263</v>
      </c>
      <c r="T28" t="s">
        <v>136</v>
      </c>
      <c r="V28" t="s">
        <v>207</v>
      </c>
      <c r="AB28" t="s">
        <v>230</v>
      </c>
      <c r="AC28" t="s">
        <v>264</v>
      </c>
      <c r="AD28" s="8">
        <v>22</v>
      </c>
      <c r="AF28" t="s">
        <v>263</v>
      </c>
      <c r="AJ28" t="s">
        <v>136</v>
      </c>
      <c r="AL28" t="s">
        <v>207</v>
      </c>
      <c r="AR28" t="s">
        <v>230</v>
      </c>
      <c r="AS28" t="s">
        <v>264</v>
      </c>
      <c r="AT28" s="8">
        <v>22</v>
      </c>
      <c r="AV28" t="s">
        <v>263</v>
      </c>
      <c r="AZ28" t="s">
        <v>136</v>
      </c>
      <c r="BB28" t="s">
        <v>207</v>
      </c>
      <c r="BH28" t="s">
        <v>230</v>
      </c>
      <c r="BI28" t="s">
        <v>264</v>
      </c>
      <c r="BJ28" s="8">
        <v>22</v>
      </c>
    </row>
    <row r="29" spans="1:62" x14ac:dyDescent="0.15">
      <c r="A29" s="12">
        <f t="shared" si="0"/>
        <v>25</v>
      </c>
      <c r="B29" t="s">
        <v>265</v>
      </c>
      <c r="C29" t="s">
        <v>265</v>
      </c>
      <c r="D29" s="12"/>
      <c r="E29" s="12"/>
      <c r="F29" s="12"/>
      <c r="G29" s="12"/>
      <c r="H29" t="s">
        <v>107</v>
      </c>
      <c r="N29" s="8">
        <v>23</v>
      </c>
      <c r="P29" t="s">
        <v>266</v>
      </c>
      <c r="R29" t="s">
        <v>127</v>
      </c>
      <c r="T29" t="s">
        <v>128</v>
      </c>
      <c r="Y29" t="s">
        <v>267</v>
      </c>
      <c r="AA29" t="s">
        <v>268</v>
      </c>
      <c r="AD29" s="8">
        <v>23</v>
      </c>
      <c r="AF29" t="s">
        <v>266</v>
      </c>
      <c r="AH29" t="s">
        <v>127</v>
      </c>
      <c r="AJ29" t="s">
        <v>128</v>
      </c>
      <c r="AO29" t="s">
        <v>267</v>
      </c>
      <c r="AQ29" t="s">
        <v>268</v>
      </c>
      <c r="AT29" s="8">
        <v>23</v>
      </c>
      <c r="AV29" t="s">
        <v>266</v>
      </c>
      <c r="AX29" t="s">
        <v>127</v>
      </c>
      <c r="AZ29" t="s">
        <v>128</v>
      </c>
      <c r="BE29" t="s">
        <v>267</v>
      </c>
      <c r="BG29" t="s">
        <v>268</v>
      </c>
      <c r="BJ29" s="8">
        <v>23</v>
      </c>
    </row>
  </sheetData>
  <phoneticPr fontId="7"/>
  <conditionalFormatting sqref="O5:AC29">
    <cfRule type="cellIs" dxfId="1" priority="1" stopIfTrue="1" operator="notEqual">
      <formula>AE5</formula>
    </cfRule>
  </conditionalFormatting>
  <conditionalFormatting sqref="AE5:AS29">
    <cfRule type="cellIs" dxfId="0" priority="2" stopIfTrue="1" operator="notEqual">
      <formula>O5</formula>
    </cfRule>
  </conditionalFormatting>
  <hyperlinks>
    <hyperlink ref="R1" r:id="rId1" display="ファイル名(L): C:\test\回覧・ワークフロー（課長フォルダ）\sample.xlsx / ファイル名(R): C:\test\回覧・ワークフロー（課長フォルダ）\sample.xlsx @ Created by ii-exsh-diff-pro v.1.00. threshold=0.7. target_columns=&quot;&quot;." xr:uid="{00000000-0004-0000-0300-000000000000}"/>
    <hyperlink ref="A3" location="'ii-exsh-diff-pro'!A1" display="#" xr:uid="{00000000-0004-0000-0300-000001000000}"/>
  </hyperlinks>
  <pageMargins left="0.75" right="0.75" top="1" bottom="1" header="0.5" footer="0.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ii-exsh-diff-pro</vt:lpstr>
      <vt:lpstr>sh00</vt:lpstr>
      <vt:lpstr>sh01</vt:lpstr>
      <vt:lpstr>sh02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2026-02-08T01:01:47Z</dcterms:created>
  <dcterms:modified xsi:type="dcterms:W3CDTF">2026-03-16T12:12:41Z</dcterms:modified>
</cp:coreProperties>
</file>